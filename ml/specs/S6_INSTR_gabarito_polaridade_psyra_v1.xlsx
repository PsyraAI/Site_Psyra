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ler" sheetId="1" state="visible" r:id="rId3"/>
    <sheet name="Gabarito" sheetId="2" state="visible" r:id="rId4"/>
    <sheet name="Resumo por bloco" sheetId="3" state="visible" r:id="rId5"/>
  </sheets>
  <definedNames>
    <definedName function="false" hidden="false" localSheetId="1" name="_xlnm.Print_Titles" vbProcedure="false">Gabarito!$3:$3</definedName>
    <definedName function="false" hidden="true" localSheetId="1" name="_xlnm._FilterDatabase" vbProcedure="false">Gabarito!$A$3:$O$49</definedName>
    <definedName function="false" hidden="false" localSheetId="2" name="_xlnm.Print_Titles" vbProcedure="false">'Resumo por bloco'!$3:$3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<sst xmlns="http://schemas.openxmlformats.org/spreadsheetml/2006/main" count="313" uniqueCount="174">
  <si>
    <t xml:space="preserve">PSYRA AI · Gabarito de polaridade do questionário</t>
  </si>
  <si>
    <t xml:space="preserve">Instrumento: Formulário Psyra — NR-1 · 46 itens · 10 blocos (A–J)</t>
  </si>
  <si>
    <t xml:space="preserve">ATENÇÃO — este gabarito NÃO classifica pessoas como certas ou erradas.</t>
  </si>
  <si>
    <t xml:space="preserve">Não existe resposta correta num instrumento psicossocial. Quem responde relata a própria exposição ao risco — não acerta nem erra.</t>
  </si>
  <si>
    <t xml:space="preserve">Por isso as respostas são classificadas como MAIS NOCIVA (indica maior exposição) e MENOS NOCIVA (indica proteção), nunca como certa ou errada.</t>
  </si>
  <si>
    <t xml:space="preserve">Resultado individual jamais é divulgado: a leitura acontece por grupo (GHE) com no mínimo 5 respostas — exigência da NR-1 e da Resolução CFP 11/2018.</t>
  </si>
  <si>
    <t xml:space="preserve">Como a direção do item define a resposta mais nociva</t>
  </si>
  <si>
    <t xml:space="preserve">PROTETOR — a frase descreve algo bom (ex.: “Meu gestor me oferece suporte”). Concordar indica proteção; DISCORDAR TOTALMENTE (1) é a resposta mais nociva.</t>
  </si>
  <si>
    <t xml:space="preserve">RISCO — a frase descreve algo ruim (ex.: “Sinto-me sobrecarregado”). Discordar indica proteção; CONCORDAR TOTALMENTE (5) é a resposta mais nociva.</t>
  </si>
  <si>
    <t xml:space="preserve">Parâmetros da escala (as fórmulas do gabarito leem daqui)</t>
  </si>
  <si>
    <t xml:space="preserve">Rótulo</t>
  </si>
  <si>
    <t xml:space="preserve">Valor</t>
  </si>
  <si>
    <t xml:space="preserve">Contribuição se PROTETOR</t>
  </si>
  <si>
    <t xml:space="preserve">Contribuição se RISCO</t>
  </si>
  <si>
    <t xml:space="preserve">Discordo totalmente</t>
  </si>
  <si>
    <t xml:space="preserve">Discordo parcialmente</t>
  </si>
  <si>
    <t xml:space="preserve">Nem concordo nem discordo</t>
  </si>
  <si>
    <t xml:space="preserve">Concordo parcialmente</t>
  </si>
  <si>
    <t xml:space="preserve">Concordo totalmente</t>
  </si>
  <si>
    <t xml:space="preserve">Mínimo da escala</t>
  </si>
  <si>
    <t xml:space="preserve">Máximo da escala</t>
  </si>
  <si>
    <t xml:space="preserve">Fórmula do índice (idêntica à do motor scoring.py): valor ajustado = 6 − resposta, quando o item é protetor; a média dos ajustados vai de 1–5 para 0–100.</t>
  </si>
  <si>
    <t xml:space="preserve">SELO PROVISÓRIO — validação pendente</t>
  </si>
  <si>
    <t xml:space="preserve">Itens transcritos automaticamente do export do formulário. O AGRUPAMENTO em blocos e a POLARIDADE de cada item são inferência técnica e precisam de validação da psicóloga CRP antes de qualquer uso em laudo ou PGR. Os itens do bloco J tocam sinais de saúde — coleta real exige CEP.</t>
  </si>
  <si>
    <t xml:space="preserve">Preencher: use as colunas “Validação CRP” e “Observação CRP” da aba Gabarito. Células em azul são entradas; as demais são calculadas.</t>
  </si>
  <si>
    <t xml:space="preserve">GABARITO DE POLARIDADE — Formulário Psyra (46 itens)</t>
  </si>
  <si>
    <t xml:space="preserve">PROVISÓRIO · polaridade inferida automaticamente do formulário — aguardando validação da psicóloga CRP. Não usar em laudo ou PGR antes disso.</t>
  </si>
  <si>
    <t xml:space="preserve">Código</t>
  </si>
  <si>
    <t xml:space="preserve">Bloco</t>
  </si>
  <si>
    <t xml:space="preserve">Dimensão</t>
  </si>
  <si>
    <t xml:space="preserve">Peso</t>
  </si>
  <si>
    <t xml:space="preserve">Item do questionário</t>
  </si>
  <si>
    <t xml:space="preserve">Direção</t>
  </si>
  <si>
    <t xml:space="preserve">Resposta MAIS nociva</t>
  </si>
  <si>
    <t xml:space="preserve">Resposta MENOS nociva</t>
  </si>
  <si>
    <t xml:space="preserve">1 · Discordo totalmente</t>
  </si>
  <si>
    <t xml:space="preserve">2 · Discordo parcialmente</t>
  </si>
  <si>
    <t xml:space="preserve">3 · Nem concordo nem discordo</t>
  </si>
  <si>
    <t xml:space="preserve">4 · Concordo parcialmente</t>
  </si>
  <si>
    <t xml:space="preserve">5 · Concordo totalmente</t>
  </si>
  <si>
    <t xml:space="preserve">Validação CRP</t>
  </si>
  <si>
    <t xml:space="preserve">Observação CRP</t>
  </si>
  <si>
    <t xml:space="preserve">A1</t>
  </si>
  <si>
    <t xml:space="preserve">A</t>
  </si>
  <si>
    <t xml:space="preserve">Apoio social e liderança</t>
  </si>
  <si>
    <t xml:space="preserve">Meu gestor/supervisor me oferece suporte quando enfrento dificuldades no trabalho.</t>
  </si>
  <si>
    <t xml:space="preserve">Protetor</t>
  </si>
  <si>
    <t xml:space="preserve">A2</t>
  </si>
  <si>
    <t xml:space="preserve">Meus colegas de trabalho estão disponíveis para me ajudar quando preciso</t>
  </si>
  <si>
    <t xml:space="preserve">A3</t>
  </si>
  <si>
    <t xml:space="preserve">A organização disponibiliza recursos adequados para que eu realize minhas tarefas</t>
  </si>
  <si>
    <t xml:space="preserve">A4</t>
  </si>
  <si>
    <t xml:space="preserve">Sinto que sou ouvido(a) quando apresento dificuldades ou sugestões dentro do meu departamento.</t>
  </si>
  <si>
    <t xml:space="preserve">A5</t>
  </si>
  <si>
    <t xml:space="preserve">Sinto que sou ouvido(a) quando apresento dificuldades ou sugestões à empresa como um todo.</t>
  </si>
  <si>
    <t xml:space="preserve">B1</t>
  </si>
  <si>
    <t xml:space="preserve">B</t>
  </si>
  <si>
    <t xml:space="preserve">Autonomia e controle</t>
  </si>
  <si>
    <t xml:space="preserve">Tenho liberdade para decidir como organizar e executar minhas tarefas diárias</t>
  </si>
  <si>
    <t xml:space="preserve">B2</t>
  </si>
  <si>
    <t xml:space="preserve">Posso influenciar as decisões que afetam diretamente meu trabalho</t>
  </si>
  <si>
    <t xml:space="preserve">B3</t>
  </si>
  <si>
    <t xml:space="preserve">Tenho autonomia para gerenciar meu próprio ritmo de trabalho</t>
  </si>
  <si>
    <t xml:space="preserve">C1</t>
  </si>
  <si>
    <t xml:space="preserve">C</t>
  </si>
  <si>
    <t xml:space="preserve">Clareza de papel e metas</t>
  </si>
  <si>
    <t xml:space="preserve">Minhas responsabilidades e atribuições estão claramente definidas.</t>
  </si>
  <si>
    <t xml:space="preserve">C2</t>
  </si>
  <si>
    <t xml:space="preserve">Sei exatamente o que é esperado de mim no desempenho do meu cargo.</t>
  </si>
  <si>
    <t xml:space="preserve">C3</t>
  </si>
  <si>
    <t xml:space="preserve">As metas e objetivos do meu trabalho são comunicados de forma clara e objetiva</t>
  </si>
  <si>
    <t xml:space="preserve">C4</t>
  </si>
  <si>
    <t xml:space="preserve">Considero que o trabalho que desenvolvo corresponde às atribuições do meu cargo e às metas estabelecidas, com qualidade compatível com as minhas funções.</t>
  </si>
  <si>
    <t xml:space="preserve">D1</t>
  </si>
  <si>
    <t xml:space="preserve">D</t>
  </si>
  <si>
    <t xml:space="preserve">Carga de trabalho</t>
  </si>
  <si>
    <t xml:space="preserve">A quantidade de tarefas atribuídas a mim é compatível com o tempo disponível para realizá-las.</t>
  </si>
  <si>
    <t xml:space="preserve">D2</t>
  </si>
  <si>
    <t xml:space="preserve">Frequentemente me sinto sobrecarregado(a) com o volume de trabalho exigido.</t>
  </si>
  <si>
    <t xml:space="preserve">Risco</t>
  </si>
  <si>
    <t xml:space="preserve">D3</t>
  </si>
  <si>
    <t xml:space="preserve">O trabalho que realizo desafia minha capacidade de forma saudável, sem gerar esgotamento.</t>
  </si>
  <si>
    <t xml:space="preserve">D4</t>
  </si>
  <si>
    <t xml:space="preserve">Percebo que tenho tarefas em quantidade insuficiente para manter-me produtivo(a) e engajado(a).</t>
  </si>
  <si>
    <t xml:space="preserve">E1</t>
  </si>
  <si>
    <t xml:space="preserve">E</t>
  </si>
  <si>
    <t xml:space="preserve">Reconhecimento e recompensa</t>
  </si>
  <si>
    <t xml:space="preserve">Meu desempenho e esforço são reconhecidos de forma justa pela organização.</t>
  </si>
  <si>
    <t xml:space="preserve">E2</t>
  </si>
  <si>
    <t xml:space="preserve">A remuneração que recebo é compatível com as responsabilidades do meu cargo.</t>
  </si>
  <si>
    <t xml:space="preserve">E3</t>
  </si>
  <si>
    <t xml:space="preserve">Recebo feedback construtivo e regular sobre a qualidade do meu trabalho.</t>
  </si>
  <si>
    <t xml:space="preserve">F1</t>
  </si>
  <si>
    <t xml:space="preserve">F</t>
  </si>
  <si>
    <t xml:space="preserve">Relações interpessoais e assédio</t>
  </si>
  <si>
    <t xml:space="preserve">O relacionamento entre colegas no meu ambiente de trabalho é respeitoso e colaborativo.</t>
  </si>
  <si>
    <t xml:space="preserve">F2</t>
  </si>
  <si>
    <t xml:space="preserve">Nunca fui exposto(a) a situações de constrangimento, humilhação ou intimidação no trabalho.</t>
  </si>
  <si>
    <t xml:space="preserve">F3</t>
  </si>
  <si>
    <t xml:space="preserve">A liderança da organização trata todos os colaboradores com equidade e respeito</t>
  </si>
  <si>
    <t xml:space="preserve">F4</t>
  </si>
  <si>
    <t xml:space="preserve">Sinto-me seguro(a) para reportar situações de conflito ou assédio sem medo de retaliação</t>
  </si>
  <si>
    <t xml:space="preserve">G1</t>
  </si>
  <si>
    <t xml:space="preserve">G</t>
  </si>
  <si>
    <t xml:space="preserve">Justiça organizacional</t>
  </si>
  <si>
    <t xml:space="preserve">As regras e políticas da organização são aplicadas de forma igual para todos os colaboradores.</t>
  </si>
  <si>
    <t xml:space="preserve">G2</t>
  </si>
  <si>
    <t xml:space="preserve">As decisões de promoção e reconhecimento profissional são tomadas com base em critérios justos e transparentes.</t>
  </si>
  <si>
    <t xml:space="preserve">G3</t>
  </si>
  <si>
    <t xml:space="preserve">Tenho confiança de que as decisões organizacionais que me afetam são tomadas de forma ética.</t>
  </si>
  <si>
    <t xml:space="preserve">H1</t>
  </si>
  <si>
    <t xml:space="preserve">H</t>
  </si>
  <si>
    <t xml:space="preserve">Comunicação e recursos</t>
  </si>
  <si>
    <t xml:space="preserve">As ferramentas e canais de comunicação disponíveis permitem que eu trabalhe de forma eficiente.</t>
  </si>
  <si>
    <t xml:space="preserve">H2</t>
  </si>
  <si>
    <t xml:space="preserve">Sinto-me conectado(a) à equipe e à organização, independentemente do formato de trabalho (presencial ou remoto).</t>
  </si>
  <si>
    <t xml:space="preserve">H3</t>
  </si>
  <si>
    <t xml:space="preserve">Tenho acesso fácil às informações necessárias para realizar minhas atividades.</t>
  </si>
  <si>
    <t xml:space="preserve">I1</t>
  </si>
  <si>
    <t xml:space="preserve">I</t>
  </si>
  <si>
    <t xml:space="preserve">Equilíbrio trabalho-vida</t>
  </si>
  <si>
    <t xml:space="preserve">Consigo equilibrar de forma adequada minhas responsabilidades profissionais e pessoais.</t>
  </si>
  <si>
    <t xml:space="preserve">I2</t>
  </si>
  <si>
    <t xml:space="preserve">As demandas do trabalho influenciam de forma negativa as atividades importantes da minha vida pessoal.</t>
  </si>
  <si>
    <t xml:space="preserve">I3</t>
  </si>
  <si>
    <t xml:space="preserve">Consigo deixar de pensar nas demandas do trabalho durante meus períodos de descanso.</t>
  </si>
  <si>
    <t xml:space="preserve">I4</t>
  </si>
  <si>
    <t xml:space="preserve">Frequentemente atendo demandas profissionais fora da minha jornada habitual de trabalho.</t>
  </si>
  <si>
    <t xml:space="preserve">I5</t>
  </si>
  <si>
    <t xml:space="preserve">Fora da minha jornada de trabalho, consigo ter tempo suficiente para me dedicar às pessoas, atividades ou compromissos pessoais.</t>
  </si>
  <si>
    <t xml:space="preserve">I6</t>
  </si>
  <si>
    <t xml:space="preserve">Percebo que as exigências do trabalho influenciam negativamente a minha qualidade de vida.</t>
  </si>
  <si>
    <t xml:space="preserve">I7</t>
  </si>
  <si>
    <t xml:space="preserve">Consigo usufruir de momentos de lazer, descanso ou autocuidado sem preocupações constantes do trabalho.</t>
  </si>
  <si>
    <t xml:space="preserve">I8</t>
  </si>
  <si>
    <t xml:space="preserve">Meu atual modelo de trabalho (presencial, híbrido ou remoto) contribui positivamente para meu bem-estar e qualidade de vida.</t>
  </si>
  <si>
    <t xml:space="preserve">I9</t>
  </si>
  <si>
    <t xml:space="preserve">Estabeleço limites claros entre minhas atividades profissionais e minha vida pessoal.</t>
  </si>
  <si>
    <t xml:space="preserve">J1</t>
  </si>
  <si>
    <t xml:space="preserve">J</t>
  </si>
  <si>
    <t xml:space="preserve">Sinais de saúde e esgotamento</t>
  </si>
  <si>
    <t xml:space="preserve">Sinto cansaço físico ao final da jornada de trabalho.</t>
  </si>
  <si>
    <t xml:space="preserve">J2</t>
  </si>
  <si>
    <t xml:space="preserve">Tenho tido dificuldades para dormir: demoro mais para pegar no sono ou não consigo manter um sono reparador.</t>
  </si>
  <si>
    <t xml:space="preserve">J3</t>
  </si>
  <si>
    <t xml:space="preserve">Tenho sentido dores musculares, tensão no corpo ou coceiras.</t>
  </si>
  <si>
    <t xml:space="preserve">J4</t>
  </si>
  <si>
    <t xml:space="preserve">Tenho apresentado dores de cabeça com frequência.</t>
  </si>
  <si>
    <t xml:space="preserve">J5</t>
  </si>
  <si>
    <t xml:space="preserve">Sinto cansaço mesmo após períodos de descanso.</t>
  </si>
  <si>
    <t xml:space="preserve">J6</t>
  </si>
  <si>
    <t xml:space="preserve">Tenho percebido alterações no apetite relacionadas ao estresse do trabalho.</t>
  </si>
  <si>
    <t xml:space="preserve">J7</t>
  </si>
  <si>
    <t xml:space="preserve">Tenho sentido mais irritação, intolerância, ansiedade ou nervosismo relacionados ao trabalho.</t>
  </si>
  <si>
    <t xml:space="preserve">J8</t>
  </si>
  <si>
    <t xml:space="preserve">Nos últimos meses, percebi alterações em minha saúde física</t>
  </si>
  <si>
    <t xml:space="preserve">RESUMO POR DIMENSÃO</t>
  </si>
  <si>
    <t xml:space="preserve">Itens</t>
  </si>
  <si>
    <t xml:space="preserve">Protetores</t>
  </si>
  <si>
    <t xml:space="preserve">De risco</t>
  </si>
  <si>
    <t xml:space="preserve">Polaridade mista</t>
  </si>
  <si>
    <t xml:space="preserve">Ação sugerida quando o risco é alto</t>
  </si>
  <si>
    <t xml:space="preserve">Capacitar lideranças em escuta e criar canal de reporte sem retaliação.</t>
  </si>
  <si>
    <t xml:space="preserve">Ampliar margem de decisão do grupo sobre método e ritmo de trabalho.</t>
  </si>
  <si>
    <t xml:space="preserve">Publicar descrição de papel e critérios de avaliação por função.</t>
  </si>
  <si>
    <t xml:space="preserve">Revisar dimensionamento de equipe e distribuição de metas do grupo.</t>
  </si>
  <si>
    <t xml:space="preserve">Revisar política de reconhecimento e trilha de desenvolvimento.</t>
  </si>
  <si>
    <t xml:space="preserve">Acionar comitê de ética; reforçar canal de denúncia e protocolo antiassédio.</t>
  </si>
  <si>
    <t xml:space="preserve">Tornar públicos os critérios de promoção e a aplicação das políticas.</t>
  </si>
  <si>
    <t xml:space="preserve">Revisar ferramentas e fluxo de informação necessários à operação.</t>
  </si>
  <si>
    <t xml:space="preserve">Definir política de desconexão e limites de acionamento fora da jornada.</t>
  </si>
  <si>
    <t xml:space="preserve">Encaminhar avaliação clínica coletiva com a psicóloga responsável (CRP).</t>
  </si>
  <si>
    <t xml:space="preserve">TOTAL</t>
  </si>
  <si>
    <t xml:space="preserve">Blocos com polaridade mista exigem inversão item a item, nunca por bloco — aplicar a inversão no bloco inteiro inverte o resultado dos itens de direção contrária.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</si>
</sst>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F3A"/>
      <name val="Arial"/>
      <family val="0"/>
      <charset val="1"/>
    </font>
    <font>
      <sz val="10"/>
      <color rgb="FF7F83A0"/>
      <name val="Arial"/>
      <family val="0"/>
      <charset val="1"/>
    </font>
    <font>
      <b val="true"/>
      <sz val="11"/>
      <color rgb="FFD64045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C1F3A"/>
      <name val="Arial"/>
      <family val="0"/>
      <charset val="1"/>
    </font>
    <font>
      <b val="true"/>
      <sz val="11"/>
      <color rgb="FF1C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83A0"/>
      <name val="Arial"/>
      <family val="0"/>
      <charset val="1"/>
    </font>
    <font>
      <b val="true"/>
      <sz val="11"/>
      <color rgb="FFD9A24E"/>
      <name val="Arial"/>
      <family val="0"/>
      <charset val="1"/>
    </font>
    <font>
      <b val="true"/>
      <sz val="14"/>
      <color rgb="FF1C1F3A"/>
      <name val="Arial"/>
      <family val="0"/>
      <charset val="1"/>
    </font>
    <font>
      <i val="true"/>
      <sz val="9"/>
      <color rgb="FFD9A24E"/>
      <name val="Arial"/>
      <family val="0"/>
      <charset val="1"/>
    </font>
    <font>
      <b val="true"/>
      <sz val="10"/>
      <color rgb="FFBC84C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D64045"/>
      <name val="Arial"/>
      <family val="0"/>
      <charset val="1"/>
    </font>
    <font>
      <sz val="10"/>
      <color rgb="FF5BBF8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F3A"/>
        <bgColor rgb="FF003366"/>
      </patternFill>
    </fill>
    <fill>
      <patternFill patternType="solid">
        <fgColor rgb="FFF0EC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E0"/>
      </left>
      <right style="thin">
        <color rgb="FFD9D4E0"/>
      </right>
      <top style="thin">
        <color rgb="FFD9D4E0"/>
      </top>
      <bottom style="thin">
        <color rgb="FFD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C1F3A"/>
          <bgColor rgb="FF000000"/>
        </patternFill>
      </fill>
    </dxf>
    <dxf>
      <fill>
        <patternFill patternType="solid">
          <fgColor rgb="FFF0EC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C84C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64045"/>
          <bgColor rgb="FF000000"/>
        </patternFill>
      </fill>
    </dxf>
    <dxf>
      <fill>
        <patternFill patternType="solid">
          <fgColor rgb="FF5BBF8A"/>
          <bgColor rgb="FF000000"/>
        </patternFill>
      </fill>
    </dxf>
    <dxf>
      <fill>
        <patternFill patternType="solid">
          <fgColor rgb="FF9AB16C"/>
          <bgColor rgb="FF000000"/>
        </patternFill>
      </fill>
    </dxf>
    <dxf>
      <fill>
        <patternFill patternType="solid">
          <fgColor rgb="FFD8714A"/>
          <bgColor rgb="FF000000"/>
        </patternFill>
      </fill>
    </dxf>
    <dxf>
      <fill>
        <patternFill patternType="solid">
          <fgColor rgb="FFD9A24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3A0"/>
      <rgbColor rgb="FF9999FF"/>
      <rgbColor rgb="FFD64045"/>
      <rgbColor rgb="FFF0ECF6"/>
      <rgbColor rgb="FFCCFFFF"/>
      <rgbColor rgb="FF660066"/>
      <rgbColor rgb="FFFF8080"/>
      <rgbColor rgb="FF0066CC"/>
      <rgbColor rgb="FFD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C84C3"/>
      <rgbColor rgb="FFFFCC99"/>
      <rgbColor rgb="FF3366FF"/>
      <rgbColor rgb="FF5BBF8A"/>
      <rgbColor rgb="FF99CC00"/>
      <rgbColor rgb="FFFFCC00"/>
      <rgbColor rgb="FFD9A24E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6</v>
      </c>
    </row>
    <row r="10" customFormat="false" ht="25.5" hidden="false" customHeight="true" outlineLevel="0" collapsed="false">
      <c r="A10" s="4" t="s">
        <v>7</v>
      </c>
      <c r="B10" s="4"/>
      <c r="C10" s="4"/>
      <c r="D10" s="4"/>
      <c r="E10" s="4"/>
      <c r="F10" s="4"/>
      <c r="G10" s="4"/>
      <c r="H10" s="4"/>
    </row>
    <row r="11" customFormat="false" ht="25.5" hidden="false" customHeight="true" outlineLevel="0" collapsed="false">
      <c r="A11" s="4" t="s">
        <v>8</v>
      </c>
      <c r="B11" s="4"/>
      <c r="C11" s="4"/>
      <c r="D11" s="4"/>
      <c r="E11" s="4"/>
      <c r="F11" s="4"/>
      <c r="G11" s="4"/>
      <c r="H11" s="4"/>
    </row>
    <row r="13" customFormat="false" ht="15" hidden="false" customHeight="false" outlineLevel="0" collapsed="false">
      <c r="A13" s="6" t="s">
        <v>9</v>
      </c>
    </row>
    <row r="14" customFormat="false" ht="23.85" hidden="false" customHeight="false" outlineLevel="0" collapsed="false">
      <c r="B14" s="7" t="s">
        <v>10</v>
      </c>
      <c r="C14" s="7" t="s">
        <v>11</v>
      </c>
      <c r="D14" s="7" t="s">
        <v>12</v>
      </c>
      <c r="E14" s="7" t="s">
        <v>13</v>
      </c>
    </row>
    <row r="15" customFormat="false" ht="15" hidden="false" customHeight="false" outlineLevel="0" collapsed="false">
      <c r="B15" s="8" t="s">
        <v>14</v>
      </c>
      <c r="C15" s="9" t="n">
        <v>1</v>
      </c>
      <c r="D15" s="8" t="n">
        <f aca="false">($C$21-C15)/($C$21-$C$20)*100</f>
        <v>100</v>
      </c>
      <c r="E15" s="8" t="n">
        <f aca="false">(C15-$C$20)/($C$21-$C$20)*100</f>
        <v>0</v>
      </c>
    </row>
    <row r="16" customFormat="false" ht="15" hidden="false" customHeight="false" outlineLevel="0" collapsed="false">
      <c r="B16" s="8" t="s">
        <v>15</v>
      </c>
      <c r="C16" s="9" t="n">
        <v>2</v>
      </c>
      <c r="D16" s="8" t="n">
        <f aca="false">($C$21-C16)/($C$21-$C$20)*100</f>
        <v>75</v>
      </c>
      <c r="E16" s="8" t="n">
        <f aca="false">(C16-$C$20)/($C$21-$C$20)*100</f>
        <v>25</v>
      </c>
    </row>
    <row r="17" customFormat="false" ht="15" hidden="false" customHeight="false" outlineLevel="0" collapsed="false">
      <c r="B17" s="8" t="s">
        <v>16</v>
      </c>
      <c r="C17" s="9" t="n">
        <v>3</v>
      </c>
      <c r="D17" s="8" t="n">
        <f aca="false">($C$21-C17)/($C$21-$C$20)*100</f>
        <v>50</v>
      </c>
      <c r="E17" s="8" t="n">
        <f aca="false">(C17-$C$20)/($C$21-$C$20)*100</f>
        <v>50</v>
      </c>
    </row>
    <row r="18" customFormat="false" ht="15" hidden="false" customHeight="false" outlineLevel="0" collapsed="false">
      <c r="B18" s="8" t="s">
        <v>17</v>
      </c>
      <c r="C18" s="9" t="n">
        <v>4</v>
      </c>
      <c r="D18" s="8" t="n">
        <f aca="false">($C$21-C18)/($C$21-$C$20)*100</f>
        <v>25</v>
      </c>
      <c r="E18" s="8" t="n">
        <f aca="false">(C18-$C$20)/($C$21-$C$20)*100</f>
        <v>75</v>
      </c>
    </row>
    <row r="19" customFormat="false" ht="15" hidden="false" customHeight="false" outlineLevel="0" collapsed="false">
      <c r="B19" s="8" t="s">
        <v>18</v>
      </c>
      <c r="C19" s="9" t="n">
        <v>5</v>
      </c>
      <c r="D19" s="8" t="n">
        <f aca="false">($C$21-C19)/($C$21-$C$20)*100</f>
        <v>0</v>
      </c>
      <c r="E19" s="8" t="n">
        <f aca="false">(C19-$C$20)/($C$21-$C$20)*100</f>
        <v>100</v>
      </c>
    </row>
    <row r="20" customFormat="false" ht="15" hidden="false" customHeight="false" outlineLevel="0" collapsed="false">
      <c r="B20" s="10" t="s">
        <v>19</v>
      </c>
      <c r="C20" s="9" t="n">
        <v>1</v>
      </c>
    </row>
    <row r="21" customFormat="false" ht="15" hidden="false" customHeight="false" outlineLevel="0" collapsed="false">
      <c r="B21" s="10" t="s">
        <v>20</v>
      </c>
      <c r="C21" s="9" t="n">
        <v>5</v>
      </c>
    </row>
    <row r="23" customFormat="false" ht="15" hidden="false" customHeight="false" outlineLevel="0" collapsed="false">
      <c r="A23" s="11" t="s">
        <v>21</v>
      </c>
      <c r="B23" s="11"/>
      <c r="C23" s="11"/>
      <c r="D23" s="11"/>
      <c r="E23" s="11"/>
      <c r="F23" s="11"/>
      <c r="G23" s="11"/>
      <c r="H23" s="11"/>
    </row>
    <row r="25" customFormat="false" ht="15" hidden="false" customHeight="false" outlineLevel="0" collapsed="false">
      <c r="A25" s="12" t="s">
        <v>22</v>
      </c>
    </row>
    <row r="26" customFormat="false" ht="30" hidden="false" customHeight="true" outlineLevel="0" collapsed="false">
      <c r="A26" s="4" t="s">
        <v>23</v>
      </c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9" customFormat="false" ht="15" hidden="false" customHeight="false" outlineLevel="0" collapsed="false">
      <c r="A29" s="13" t="s">
        <v>24</v>
      </c>
      <c r="B29" s="13"/>
      <c r="C29" s="13"/>
      <c r="D29" s="13"/>
      <c r="E29" s="13"/>
      <c r="F29" s="13"/>
      <c r="G29" s="13"/>
      <c r="H29" s="13"/>
    </row>
  </sheetData>
  <mergeCells count="8">
    <mergeCell ref="A5:H5"/>
    <mergeCell ref="A6:H6"/>
    <mergeCell ref="A7:H7"/>
    <mergeCell ref="A10:H10"/>
    <mergeCell ref="A11:H11"/>
    <mergeCell ref="A23:H23"/>
    <mergeCell ref="A26:H27"/>
    <mergeCell ref="A29:H2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8" min="7" style="0" width="21"/>
    <col collapsed="false" customWidth="true" hidden="false" outlineLevel="0" max="13" min="9" style="0" width="13"/>
    <col collapsed="false" customWidth="true" hidden="false" outlineLevel="0" max="14" min="14" style="0" width="15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5" hidden="false" customHeight="false" outlineLevel="0" collapsed="false">
      <c r="A2" s="15" t="s">
        <v>26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3.75" hidden="false" customHeight="true" outlineLevel="0" collapsed="false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7" t="s">
        <v>37</v>
      </c>
      <c r="L3" s="7" t="s">
        <v>38</v>
      </c>
      <c r="M3" s="7" t="s">
        <v>39</v>
      </c>
      <c r="N3" s="7" t="s">
        <v>40</v>
      </c>
      <c r="O3" s="7" t="s">
        <v>41</v>
      </c>
    </row>
    <row r="4" customFormat="false" ht="30" hidden="false" customHeight="true" outlineLevel="0" collapsed="false">
      <c r="A4" s="16" t="s">
        <v>42</v>
      </c>
      <c r="B4" s="17" t="s">
        <v>43</v>
      </c>
      <c r="C4" s="18" t="s">
        <v>44</v>
      </c>
      <c r="D4" s="17" t="n">
        <v>1.2</v>
      </c>
      <c r="E4" s="18" t="s">
        <v>45</v>
      </c>
      <c r="F4" s="19" t="s">
        <v>46</v>
      </c>
      <c r="G4" s="20" t="str">
        <f aca="false">IF($F4="Protetor","1 · Discordo totalmente","5 · Concordo totalmente")</f>
        <v>1 · Discordo totalmente</v>
      </c>
      <c r="H4" s="21" t="str">
        <f aca="false">IF($F4="Protetor","5 · Concordo totalmente","1 · Discordo totalmente")</f>
        <v>5 · Concordo totalmente</v>
      </c>
      <c r="I4" s="22" t="n">
        <f aca="false">IF($F4="Protetor",(('Como ler'!$C$21-'Como ler'!$C$15)/('Como ler'!$C$21-'Como ler'!$C$20)*100),(('Como ler'!$C$15-'Como ler'!$C$20)/('Como ler'!$C$21-'Como ler'!$C$20)*100))</f>
        <v>100</v>
      </c>
      <c r="J4" s="22" t="n">
        <f aca="false">IF($F4="Protetor",(('Como ler'!$C$21-'Como ler'!$C$16)/('Como ler'!$C$21-'Como ler'!$C$20)*100),(('Como ler'!$C$16-'Como ler'!$C$20)/('Como ler'!$C$21-'Como ler'!$C$20)*100))</f>
        <v>75</v>
      </c>
      <c r="K4" s="22" t="n">
        <f aca="false">IF($F4="Protetor",(('Como ler'!$C$21-'Como ler'!$C$17)/('Como ler'!$C$21-'Como ler'!$C$20)*100),(('Como ler'!$C$17-'Como ler'!$C$20)/('Como ler'!$C$21-'Como ler'!$C$20)*100))</f>
        <v>50</v>
      </c>
      <c r="L4" s="22" t="n">
        <f aca="false">IF($F4="Protetor",(('Como ler'!$C$21-'Como ler'!$C$18)/('Como ler'!$C$21-'Como ler'!$C$20)*100),(('Como ler'!$C$18-'Como ler'!$C$20)/('Como ler'!$C$21-'Como ler'!$C$20)*100))</f>
        <v>25</v>
      </c>
      <c r="M4" s="22" t="n">
        <f aca="false">IF($F4="Protetor",(('Como ler'!$C$21-'Como ler'!$C$19)/('Como ler'!$C$21-'Como ler'!$C$20)*100),(('Como ler'!$C$19-'Como ler'!$C$20)/('Como ler'!$C$21-'Como ler'!$C$20)*100))</f>
        <v>0</v>
      </c>
      <c r="N4" s="18"/>
      <c r="O4" s="18"/>
    </row>
    <row r="5" customFormat="false" ht="30" hidden="false" customHeight="true" outlineLevel="0" collapsed="false">
      <c r="A5" s="23" t="s">
        <v>47</v>
      </c>
      <c r="B5" s="24" t="s">
        <v>43</v>
      </c>
      <c r="C5" s="25" t="s">
        <v>44</v>
      </c>
      <c r="D5" s="24" t="n">
        <v>1.2</v>
      </c>
      <c r="E5" s="25" t="s">
        <v>48</v>
      </c>
      <c r="F5" s="26" t="s">
        <v>46</v>
      </c>
      <c r="G5" s="27" t="str">
        <f aca="false">IF($F5="Protetor","1 · Discordo totalmente","5 · Concordo totalmente")</f>
        <v>1 · Discordo totalmente</v>
      </c>
      <c r="H5" s="28" t="str">
        <f aca="false">IF($F5="Protetor","5 · Concordo totalmente","1 · Discordo totalmente")</f>
        <v>5 · Concordo totalmente</v>
      </c>
      <c r="I5" s="29" t="n">
        <f aca="false">IF($F5="Protetor",(('Como ler'!$C$21-'Como ler'!$C$15)/('Como ler'!$C$21-'Como ler'!$C$20)*100),(('Como ler'!$C$15-'Como ler'!$C$20)/('Como ler'!$C$21-'Como ler'!$C$20)*100))</f>
        <v>100</v>
      </c>
      <c r="J5" s="29" t="n">
        <f aca="false">IF($F5="Protetor",(('Como ler'!$C$21-'Como ler'!$C$16)/('Como ler'!$C$21-'Como ler'!$C$20)*100),(('Como ler'!$C$16-'Como ler'!$C$20)/('Como ler'!$C$21-'Como ler'!$C$20)*100))</f>
        <v>75</v>
      </c>
      <c r="K5" s="29" t="n">
        <f aca="false">IF($F5="Protetor",(('Como ler'!$C$21-'Como ler'!$C$17)/('Como ler'!$C$21-'Como ler'!$C$20)*100),(('Como ler'!$C$17-'Como ler'!$C$20)/('Como ler'!$C$21-'Como ler'!$C$20)*100))</f>
        <v>50</v>
      </c>
      <c r="L5" s="29" t="n">
        <f aca="false">IF($F5="Protetor",(('Como ler'!$C$21-'Como ler'!$C$18)/('Como ler'!$C$21-'Como ler'!$C$20)*100),(('Como ler'!$C$18-'Como ler'!$C$20)/('Como ler'!$C$21-'Como ler'!$C$20)*100))</f>
        <v>25</v>
      </c>
      <c r="M5" s="29" t="n">
        <f aca="false">IF($F5="Protetor",(('Como ler'!$C$21-'Como ler'!$C$19)/('Como ler'!$C$21-'Como ler'!$C$20)*100),(('Como ler'!$C$19-'Como ler'!$C$20)/('Como ler'!$C$21-'Como ler'!$C$20)*100))</f>
        <v>0</v>
      </c>
      <c r="N5" s="25"/>
      <c r="O5" s="25"/>
    </row>
    <row r="6" customFormat="false" ht="30" hidden="false" customHeight="true" outlineLevel="0" collapsed="false">
      <c r="A6" s="16" t="s">
        <v>49</v>
      </c>
      <c r="B6" s="17" t="s">
        <v>43</v>
      </c>
      <c r="C6" s="18" t="s">
        <v>44</v>
      </c>
      <c r="D6" s="17" t="n">
        <v>1.2</v>
      </c>
      <c r="E6" s="18" t="s">
        <v>50</v>
      </c>
      <c r="F6" s="19" t="s">
        <v>46</v>
      </c>
      <c r="G6" s="20" t="str">
        <f aca="false">IF($F6="Protetor","1 · Discordo totalmente","5 · Concordo totalmente")</f>
        <v>1 · Discordo totalmente</v>
      </c>
      <c r="H6" s="21" t="str">
        <f aca="false">IF($F6="Protetor","5 · Concordo totalmente","1 · Discordo totalmente")</f>
        <v>5 · Concordo totalmente</v>
      </c>
      <c r="I6" s="22" t="n">
        <f aca="false">IF($F6="Protetor",(('Como ler'!$C$21-'Como ler'!$C$15)/('Como ler'!$C$21-'Como ler'!$C$20)*100),(('Como ler'!$C$15-'Como ler'!$C$20)/('Como ler'!$C$21-'Como ler'!$C$20)*100))</f>
        <v>100</v>
      </c>
      <c r="J6" s="22" t="n">
        <f aca="false">IF($F6="Protetor",(('Como ler'!$C$21-'Como ler'!$C$16)/('Como ler'!$C$21-'Como ler'!$C$20)*100),(('Como ler'!$C$16-'Como ler'!$C$20)/('Como ler'!$C$21-'Como ler'!$C$20)*100))</f>
        <v>75</v>
      </c>
      <c r="K6" s="22" t="n">
        <f aca="false">IF($F6="Protetor",(('Como ler'!$C$21-'Como ler'!$C$17)/('Como ler'!$C$21-'Como ler'!$C$20)*100),(('Como ler'!$C$17-'Como ler'!$C$20)/('Como ler'!$C$21-'Como ler'!$C$20)*100))</f>
        <v>50</v>
      </c>
      <c r="L6" s="22" t="n">
        <f aca="false">IF($F6="Protetor",(('Como ler'!$C$21-'Como ler'!$C$18)/('Como ler'!$C$21-'Como ler'!$C$20)*100),(('Como ler'!$C$18-'Como ler'!$C$20)/('Como ler'!$C$21-'Como ler'!$C$20)*100))</f>
        <v>25</v>
      </c>
      <c r="M6" s="22" t="n">
        <f aca="false">IF($F6="Protetor",(('Como ler'!$C$21-'Como ler'!$C$19)/('Como ler'!$C$21-'Como ler'!$C$20)*100),(('Como ler'!$C$19-'Como ler'!$C$20)/('Como ler'!$C$21-'Como ler'!$C$20)*100))</f>
        <v>0</v>
      </c>
      <c r="N6" s="18"/>
      <c r="O6" s="18"/>
    </row>
    <row r="7" customFormat="false" ht="30" hidden="false" customHeight="true" outlineLevel="0" collapsed="false">
      <c r="A7" s="23" t="s">
        <v>51</v>
      </c>
      <c r="B7" s="24" t="s">
        <v>43</v>
      </c>
      <c r="C7" s="25" t="s">
        <v>44</v>
      </c>
      <c r="D7" s="24" t="n">
        <v>1.2</v>
      </c>
      <c r="E7" s="25" t="s">
        <v>52</v>
      </c>
      <c r="F7" s="26" t="s">
        <v>46</v>
      </c>
      <c r="G7" s="27" t="str">
        <f aca="false">IF($F7="Protetor","1 · Discordo totalmente","5 · Concordo totalmente")</f>
        <v>1 · Discordo totalmente</v>
      </c>
      <c r="H7" s="28" t="str">
        <f aca="false">IF($F7="Protetor","5 · Concordo totalmente","1 · Discordo totalmente")</f>
        <v>5 · Concordo totalmente</v>
      </c>
      <c r="I7" s="29" t="n">
        <f aca="false">IF($F7="Protetor",(('Como ler'!$C$21-'Como ler'!$C$15)/('Como ler'!$C$21-'Como ler'!$C$20)*100),(('Como ler'!$C$15-'Como ler'!$C$20)/('Como ler'!$C$21-'Como ler'!$C$20)*100))</f>
        <v>100</v>
      </c>
      <c r="J7" s="29" t="n">
        <f aca="false">IF($F7="Protetor",(('Como ler'!$C$21-'Como ler'!$C$16)/('Como ler'!$C$21-'Como ler'!$C$20)*100),(('Como ler'!$C$16-'Como ler'!$C$20)/('Como ler'!$C$21-'Como ler'!$C$20)*100))</f>
        <v>75</v>
      </c>
      <c r="K7" s="29" t="n">
        <f aca="false">IF($F7="Protetor",(('Como ler'!$C$21-'Como ler'!$C$17)/('Como ler'!$C$21-'Como ler'!$C$20)*100),(('Como ler'!$C$17-'Como ler'!$C$20)/('Como ler'!$C$21-'Como ler'!$C$20)*100))</f>
        <v>50</v>
      </c>
      <c r="L7" s="29" t="n">
        <f aca="false">IF($F7="Protetor",(('Como ler'!$C$21-'Como ler'!$C$18)/('Como ler'!$C$21-'Como ler'!$C$20)*100),(('Como ler'!$C$18-'Como ler'!$C$20)/('Como ler'!$C$21-'Como ler'!$C$20)*100))</f>
        <v>25</v>
      </c>
      <c r="M7" s="29" t="n">
        <f aca="false">IF($F7="Protetor",(('Como ler'!$C$21-'Como ler'!$C$19)/('Como ler'!$C$21-'Como ler'!$C$20)*100),(('Como ler'!$C$19-'Como ler'!$C$20)/('Como ler'!$C$21-'Como ler'!$C$20)*100))</f>
        <v>0</v>
      </c>
      <c r="N7" s="25"/>
      <c r="O7" s="25"/>
    </row>
    <row r="8" customFormat="false" ht="30" hidden="false" customHeight="true" outlineLevel="0" collapsed="false">
      <c r="A8" s="16" t="s">
        <v>53</v>
      </c>
      <c r="B8" s="17" t="s">
        <v>43</v>
      </c>
      <c r="C8" s="18" t="s">
        <v>44</v>
      </c>
      <c r="D8" s="17" t="n">
        <v>1.2</v>
      </c>
      <c r="E8" s="18" t="s">
        <v>54</v>
      </c>
      <c r="F8" s="19" t="s">
        <v>46</v>
      </c>
      <c r="G8" s="20" t="str">
        <f aca="false">IF($F8="Protetor","1 · Discordo totalmente","5 · Concordo totalmente")</f>
        <v>1 · Discordo totalmente</v>
      </c>
      <c r="H8" s="21" t="str">
        <f aca="false">IF($F8="Protetor","5 · Concordo totalmente","1 · Discordo totalmente")</f>
        <v>5 · Concordo totalmente</v>
      </c>
      <c r="I8" s="22" t="n">
        <f aca="false">IF($F8="Protetor",(('Como ler'!$C$21-'Como ler'!$C$15)/('Como ler'!$C$21-'Como ler'!$C$20)*100),(('Como ler'!$C$15-'Como ler'!$C$20)/('Como ler'!$C$21-'Como ler'!$C$20)*100))</f>
        <v>100</v>
      </c>
      <c r="J8" s="22" t="n">
        <f aca="false">IF($F8="Protetor",(('Como ler'!$C$21-'Como ler'!$C$16)/('Como ler'!$C$21-'Como ler'!$C$20)*100),(('Como ler'!$C$16-'Como ler'!$C$20)/('Como ler'!$C$21-'Como ler'!$C$20)*100))</f>
        <v>75</v>
      </c>
      <c r="K8" s="22" t="n">
        <f aca="false">IF($F8="Protetor",(('Como ler'!$C$21-'Como ler'!$C$17)/('Como ler'!$C$21-'Como ler'!$C$20)*100),(('Como ler'!$C$17-'Como ler'!$C$20)/('Como ler'!$C$21-'Como ler'!$C$20)*100))</f>
        <v>50</v>
      </c>
      <c r="L8" s="22" t="n">
        <f aca="false">IF($F8="Protetor",(('Como ler'!$C$21-'Como ler'!$C$18)/('Como ler'!$C$21-'Como ler'!$C$20)*100),(('Como ler'!$C$18-'Como ler'!$C$20)/('Como ler'!$C$21-'Como ler'!$C$20)*100))</f>
        <v>25</v>
      </c>
      <c r="M8" s="22" t="n">
        <f aca="false">IF($F8="Protetor",(('Como ler'!$C$21-'Como ler'!$C$19)/('Como ler'!$C$21-'Como ler'!$C$20)*100),(('Como ler'!$C$19-'Como ler'!$C$20)/('Como ler'!$C$21-'Como ler'!$C$20)*100))</f>
        <v>0</v>
      </c>
      <c r="N8" s="18"/>
      <c r="O8" s="18"/>
    </row>
    <row r="9" customFormat="false" ht="30" hidden="false" customHeight="true" outlineLevel="0" collapsed="false">
      <c r="A9" s="23" t="s">
        <v>55</v>
      </c>
      <c r="B9" s="24" t="s">
        <v>56</v>
      </c>
      <c r="C9" s="25" t="s">
        <v>57</v>
      </c>
      <c r="D9" s="24" t="n">
        <v>1</v>
      </c>
      <c r="E9" s="25" t="s">
        <v>58</v>
      </c>
      <c r="F9" s="26" t="s">
        <v>46</v>
      </c>
      <c r="G9" s="27" t="str">
        <f aca="false">IF($F9="Protetor","1 · Discordo totalmente","5 · Concordo totalmente")</f>
        <v>1 · Discordo totalmente</v>
      </c>
      <c r="H9" s="28" t="str">
        <f aca="false">IF($F9="Protetor","5 · Concordo totalmente","1 · Discordo totalmente")</f>
        <v>5 · Concordo totalmente</v>
      </c>
      <c r="I9" s="29" t="n">
        <f aca="false">IF($F9="Protetor",(('Como ler'!$C$21-'Como ler'!$C$15)/('Como ler'!$C$21-'Como ler'!$C$20)*100),(('Como ler'!$C$15-'Como ler'!$C$20)/('Como ler'!$C$21-'Como ler'!$C$20)*100))</f>
        <v>100</v>
      </c>
      <c r="J9" s="29" t="n">
        <f aca="false">IF($F9="Protetor",(('Como ler'!$C$21-'Como ler'!$C$16)/('Como ler'!$C$21-'Como ler'!$C$20)*100),(('Como ler'!$C$16-'Como ler'!$C$20)/('Como ler'!$C$21-'Como ler'!$C$20)*100))</f>
        <v>75</v>
      </c>
      <c r="K9" s="29" t="n">
        <f aca="false">IF($F9="Protetor",(('Como ler'!$C$21-'Como ler'!$C$17)/('Como ler'!$C$21-'Como ler'!$C$20)*100),(('Como ler'!$C$17-'Como ler'!$C$20)/('Como ler'!$C$21-'Como ler'!$C$20)*100))</f>
        <v>50</v>
      </c>
      <c r="L9" s="29" t="n">
        <f aca="false">IF($F9="Protetor",(('Como ler'!$C$21-'Como ler'!$C$18)/('Como ler'!$C$21-'Como ler'!$C$20)*100),(('Como ler'!$C$18-'Como ler'!$C$20)/('Como ler'!$C$21-'Como ler'!$C$20)*100))</f>
        <v>25</v>
      </c>
      <c r="M9" s="29" t="n">
        <f aca="false">IF($F9="Protetor",(('Como ler'!$C$21-'Como ler'!$C$19)/('Como ler'!$C$21-'Como ler'!$C$20)*100),(('Como ler'!$C$19-'Como ler'!$C$20)/('Como ler'!$C$21-'Como ler'!$C$20)*100))</f>
        <v>0</v>
      </c>
      <c r="N9" s="25"/>
      <c r="O9" s="25"/>
    </row>
    <row r="10" customFormat="false" ht="30" hidden="false" customHeight="true" outlineLevel="0" collapsed="false">
      <c r="A10" s="16" t="s">
        <v>59</v>
      </c>
      <c r="B10" s="17" t="s">
        <v>56</v>
      </c>
      <c r="C10" s="18" t="s">
        <v>57</v>
      </c>
      <c r="D10" s="17" t="n">
        <v>1</v>
      </c>
      <c r="E10" s="18" t="s">
        <v>60</v>
      </c>
      <c r="F10" s="19" t="s">
        <v>46</v>
      </c>
      <c r="G10" s="20" t="str">
        <f aca="false">IF($F10="Protetor","1 · Discordo totalmente","5 · Concordo totalmente")</f>
        <v>1 · Discordo totalmente</v>
      </c>
      <c r="H10" s="21" t="str">
        <f aca="false">IF($F10="Protetor","5 · Concordo totalmente","1 · Discordo totalmente")</f>
        <v>5 · Concordo totalmente</v>
      </c>
      <c r="I10" s="22" t="n">
        <f aca="false">IF($F10="Protetor",(('Como ler'!$C$21-'Como ler'!$C$15)/('Como ler'!$C$21-'Como ler'!$C$20)*100),(('Como ler'!$C$15-'Como ler'!$C$20)/('Como ler'!$C$21-'Como ler'!$C$20)*100))</f>
        <v>100</v>
      </c>
      <c r="J10" s="22" t="n">
        <f aca="false">IF($F10="Protetor",(('Como ler'!$C$21-'Como ler'!$C$16)/('Como ler'!$C$21-'Como ler'!$C$20)*100),(('Como ler'!$C$16-'Como ler'!$C$20)/('Como ler'!$C$21-'Como ler'!$C$20)*100))</f>
        <v>75</v>
      </c>
      <c r="K10" s="22" t="n">
        <f aca="false">IF($F10="Protetor",(('Como ler'!$C$21-'Como ler'!$C$17)/('Como ler'!$C$21-'Como ler'!$C$20)*100),(('Como ler'!$C$17-'Como ler'!$C$20)/('Como ler'!$C$21-'Como ler'!$C$20)*100))</f>
        <v>50</v>
      </c>
      <c r="L10" s="22" t="n">
        <f aca="false">IF($F10="Protetor",(('Como ler'!$C$21-'Como ler'!$C$18)/('Como ler'!$C$21-'Como ler'!$C$20)*100),(('Como ler'!$C$18-'Como ler'!$C$20)/('Como ler'!$C$21-'Como ler'!$C$20)*100))</f>
        <v>25</v>
      </c>
      <c r="M10" s="22" t="n">
        <f aca="false">IF($F10="Protetor",(('Como ler'!$C$21-'Como ler'!$C$19)/('Como ler'!$C$21-'Como ler'!$C$20)*100),(('Como ler'!$C$19-'Como ler'!$C$20)/('Como ler'!$C$21-'Como ler'!$C$20)*100))</f>
        <v>0</v>
      </c>
      <c r="N10" s="18"/>
      <c r="O10" s="18"/>
    </row>
    <row r="11" customFormat="false" ht="30" hidden="false" customHeight="true" outlineLevel="0" collapsed="false">
      <c r="A11" s="23" t="s">
        <v>61</v>
      </c>
      <c r="B11" s="24" t="s">
        <v>56</v>
      </c>
      <c r="C11" s="25" t="s">
        <v>57</v>
      </c>
      <c r="D11" s="24" t="n">
        <v>1</v>
      </c>
      <c r="E11" s="25" t="s">
        <v>62</v>
      </c>
      <c r="F11" s="26" t="s">
        <v>46</v>
      </c>
      <c r="G11" s="27" t="str">
        <f aca="false">IF($F11="Protetor","1 · Discordo totalmente","5 · Concordo totalmente")</f>
        <v>1 · Discordo totalmente</v>
      </c>
      <c r="H11" s="28" t="str">
        <f aca="false">IF($F11="Protetor","5 · Concordo totalmente","1 · Discordo totalmente")</f>
        <v>5 · Concordo totalmente</v>
      </c>
      <c r="I11" s="29" t="n">
        <f aca="false">IF($F11="Protetor",(('Como ler'!$C$21-'Como ler'!$C$15)/('Como ler'!$C$21-'Como ler'!$C$20)*100),(('Como ler'!$C$15-'Como ler'!$C$20)/('Como ler'!$C$21-'Como ler'!$C$20)*100))</f>
        <v>100</v>
      </c>
      <c r="J11" s="29" t="n">
        <f aca="false">IF($F11="Protetor",(('Como ler'!$C$21-'Como ler'!$C$16)/('Como ler'!$C$21-'Como ler'!$C$20)*100),(('Como ler'!$C$16-'Como ler'!$C$20)/('Como ler'!$C$21-'Como ler'!$C$20)*100))</f>
        <v>75</v>
      </c>
      <c r="K11" s="29" t="n">
        <f aca="false">IF($F11="Protetor",(('Como ler'!$C$21-'Como ler'!$C$17)/('Como ler'!$C$21-'Como ler'!$C$20)*100),(('Como ler'!$C$17-'Como ler'!$C$20)/('Como ler'!$C$21-'Como ler'!$C$20)*100))</f>
        <v>50</v>
      </c>
      <c r="L11" s="29" t="n">
        <f aca="false">IF($F11="Protetor",(('Como ler'!$C$21-'Como ler'!$C$18)/('Como ler'!$C$21-'Como ler'!$C$20)*100),(('Como ler'!$C$18-'Como ler'!$C$20)/('Como ler'!$C$21-'Como ler'!$C$20)*100))</f>
        <v>25</v>
      </c>
      <c r="M11" s="29" t="n">
        <f aca="false">IF($F11="Protetor",(('Como ler'!$C$21-'Como ler'!$C$19)/('Como ler'!$C$21-'Como ler'!$C$20)*100),(('Como ler'!$C$19-'Como ler'!$C$20)/('Como ler'!$C$21-'Como ler'!$C$20)*100))</f>
        <v>0</v>
      </c>
      <c r="N11" s="25"/>
      <c r="O11" s="25"/>
    </row>
    <row r="12" customFormat="false" ht="30" hidden="false" customHeight="true" outlineLevel="0" collapsed="false">
      <c r="A12" s="16" t="s">
        <v>63</v>
      </c>
      <c r="B12" s="17" t="s">
        <v>64</v>
      </c>
      <c r="C12" s="18" t="s">
        <v>65</v>
      </c>
      <c r="D12" s="17" t="n">
        <v>1</v>
      </c>
      <c r="E12" s="18" t="s">
        <v>66</v>
      </c>
      <c r="F12" s="19" t="s">
        <v>46</v>
      </c>
      <c r="G12" s="20" t="str">
        <f aca="false">IF($F12="Protetor","1 · Discordo totalmente","5 · Concordo totalmente")</f>
        <v>1 · Discordo totalmente</v>
      </c>
      <c r="H12" s="21" t="str">
        <f aca="false">IF($F12="Protetor","5 · Concordo totalmente","1 · Discordo totalmente")</f>
        <v>5 · Concordo totalmente</v>
      </c>
      <c r="I12" s="22" t="n">
        <f aca="false">IF($F12="Protetor",(('Como ler'!$C$21-'Como ler'!$C$15)/('Como ler'!$C$21-'Como ler'!$C$20)*100),(('Como ler'!$C$15-'Como ler'!$C$20)/('Como ler'!$C$21-'Como ler'!$C$20)*100))</f>
        <v>100</v>
      </c>
      <c r="J12" s="22" t="n">
        <f aca="false">IF($F12="Protetor",(('Como ler'!$C$21-'Como ler'!$C$16)/('Como ler'!$C$21-'Como ler'!$C$20)*100),(('Como ler'!$C$16-'Como ler'!$C$20)/('Como ler'!$C$21-'Como ler'!$C$20)*100))</f>
        <v>75</v>
      </c>
      <c r="K12" s="22" t="n">
        <f aca="false">IF($F12="Protetor",(('Como ler'!$C$21-'Como ler'!$C$17)/('Como ler'!$C$21-'Como ler'!$C$20)*100),(('Como ler'!$C$17-'Como ler'!$C$20)/('Como ler'!$C$21-'Como ler'!$C$20)*100))</f>
        <v>50</v>
      </c>
      <c r="L12" s="22" t="n">
        <f aca="false">IF($F12="Protetor",(('Como ler'!$C$21-'Como ler'!$C$18)/('Como ler'!$C$21-'Como ler'!$C$20)*100),(('Como ler'!$C$18-'Como ler'!$C$20)/('Como ler'!$C$21-'Como ler'!$C$20)*100))</f>
        <v>25</v>
      </c>
      <c r="M12" s="22" t="n">
        <f aca="false">IF($F12="Protetor",(('Como ler'!$C$21-'Como ler'!$C$19)/('Como ler'!$C$21-'Como ler'!$C$20)*100),(('Como ler'!$C$19-'Como ler'!$C$20)/('Como ler'!$C$21-'Como ler'!$C$20)*100))</f>
        <v>0</v>
      </c>
      <c r="N12" s="18"/>
      <c r="O12" s="18"/>
    </row>
    <row r="13" customFormat="false" ht="30" hidden="false" customHeight="true" outlineLevel="0" collapsed="false">
      <c r="A13" s="23" t="s">
        <v>67</v>
      </c>
      <c r="B13" s="24" t="s">
        <v>64</v>
      </c>
      <c r="C13" s="25" t="s">
        <v>65</v>
      </c>
      <c r="D13" s="24" t="n">
        <v>1</v>
      </c>
      <c r="E13" s="25" t="s">
        <v>68</v>
      </c>
      <c r="F13" s="26" t="s">
        <v>46</v>
      </c>
      <c r="G13" s="27" t="str">
        <f aca="false">IF($F13="Protetor","1 · Discordo totalmente","5 · Concordo totalmente")</f>
        <v>1 · Discordo totalmente</v>
      </c>
      <c r="H13" s="28" t="str">
        <f aca="false">IF($F13="Protetor","5 · Concordo totalmente","1 · Discordo totalmente")</f>
        <v>5 · Concordo totalmente</v>
      </c>
      <c r="I13" s="29" t="n">
        <f aca="false">IF($F13="Protetor",(('Como ler'!$C$21-'Como ler'!$C$15)/('Como ler'!$C$21-'Como ler'!$C$20)*100),(('Como ler'!$C$15-'Como ler'!$C$20)/('Como ler'!$C$21-'Como ler'!$C$20)*100))</f>
        <v>100</v>
      </c>
      <c r="J13" s="29" t="n">
        <f aca="false">IF($F13="Protetor",(('Como ler'!$C$21-'Como ler'!$C$16)/('Como ler'!$C$21-'Como ler'!$C$20)*100),(('Como ler'!$C$16-'Como ler'!$C$20)/('Como ler'!$C$21-'Como ler'!$C$20)*100))</f>
        <v>75</v>
      </c>
      <c r="K13" s="29" t="n">
        <f aca="false">IF($F13="Protetor",(('Como ler'!$C$21-'Como ler'!$C$17)/('Como ler'!$C$21-'Como ler'!$C$20)*100),(('Como ler'!$C$17-'Como ler'!$C$20)/('Como ler'!$C$21-'Como ler'!$C$20)*100))</f>
        <v>50</v>
      </c>
      <c r="L13" s="29" t="n">
        <f aca="false">IF($F13="Protetor",(('Como ler'!$C$21-'Como ler'!$C$18)/('Como ler'!$C$21-'Como ler'!$C$20)*100),(('Como ler'!$C$18-'Como ler'!$C$20)/('Como ler'!$C$21-'Como ler'!$C$20)*100))</f>
        <v>25</v>
      </c>
      <c r="M13" s="29" t="n">
        <f aca="false">IF($F13="Protetor",(('Como ler'!$C$21-'Como ler'!$C$19)/('Como ler'!$C$21-'Como ler'!$C$20)*100),(('Como ler'!$C$19-'Como ler'!$C$20)/('Como ler'!$C$21-'Como ler'!$C$20)*100))</f>
        <v>0</v>
      </c>
      <c r="N13" s="25"/>
      <c r="O13" s="25"/>
    </row>
    <row r="14" customFormat="false" ht="30" hidden="false" customHeight="true" outlineLevel="0" collapsed="false">
      <c r="A14" s="16" t="s">
        <v>69</v>
      </c>
      <c r="B14" s="17" t="s">
        <v>64</v>
      </c>
      <c r="C14" s="18" t="s">
        <v>65</v>
      </c>
      <c r="D14" s="17" t="n">
        <v>1</v>
      </c>
      <c r="E14" s="18" t="s">
        <v>70</v>
      </c>
      <c r="F14" s="19" t="s">
        <v>46</v>
      </c>
      <c r="G14" s="20" t="str">
        <f aca="false">IF($F14="Protetor","1 · Discordo totalmente","5 · Concordo totalmente")</f>
        <v>1 · Discordo totalmente</v>
      </c>
      <c r="H14" s="21" t="str">
        <f aca="false">IF($F14="Protetor","5 · Concordo totalmente","1 · Discordo totalmente")</f>
        <v>5 · Concordo totalmente</v>
      </c>
      <c r="I14" s="22" t="n">
        <f aca="false">IF($F14="Protetor",(('Como ler'!$C$21-'Como ler'!$C$15)/('Como ler'!$C$21-'Como ler'!$C$20)*100),(('Como ler'!$C$15-'Como ler'!$C$20)/('Como ler'!$C$21-'Como ler'!$C$20)*100))</f>
        <v>100</v>
      </c>
      <c r="J14" s="22" t="n">
        <f aca="false">IF($F14="Protetor",(('Como ler'!$C$21-'Como ler'!$C$16)/('Como ler'!$C$21-'Como ler'!$C$20)*100),(('Como ler'!$C$16-'Como ler'!$C$20)/('Como ler'!$C$21-'Como ler'!$C$20)*100))</f>
        <v>75</v>
      </c>
      <c r="K14" s="22" t="n">
        <f aca="false">IF($F14="Protetor",(('Como ler'!$C$21-'Como ler'!$C$17)/('Como ler'!$C$21-'Como ler'!$C$20)*100),(('Como ler'!$C$17-'Como ler'!$C$20)/('Como ler'!$C$21-'Como ler'!$C$20)*100))</f>
        <v>50</v>
      </c>
      <c r="L14" s="22" t="n">
        <f aca="false">IF($F14="Protetor",(('Como ler'!$C$21-'Como ler'!$C$18)/('Como ler'!$C$21-'Como ler'!$C$20)*100),(('Como ler'!$C$18-'Como ler'!$C$20)/('Como ler'!$C$21-'Como ler'!$C$20)*100))</f>
        <v>25</v>
      </c>
      <c r="M14" s="22" t="n">
        <f aca="false">IF($F14="Protetor",(('Como ler'!$C$21-'Como ler'!$C$19)/('Como ler'!$C$21-'Como ler'!$C$20)*100),(('Como ler'!$C$19-'Como ler'!$C$20)/('Como ler'!$C$21-'Como ler'!$C$20)*100))</f>
        <v>0</v>
      </c>
      <c r="N14" s="18"/>
      <c r="O14" s="18"/>
    </row>
    <row r="15" customFormat="false" ht="30" hidden="false" customHeight="true" outlineLevel="0" collapsed="false">
      <c r="A15" s="23" t="s">
        <v>71</v>
      </c>
      <c r="B15" s="24" t="s">
        <v>64</v>
      </c>
      <c r="C15" s="25" t="s">
        <v>65</v>
      </c>
      <c r="D15" s="24" t="n">
        <v>1</v>
      </c>
      <c r="E15" s="25" t="s">
        <v>72</v>
      </c>
      <c r="F15" s="26" t="s">
        <v>46</v>
      </c>
      <c r="G15" s="27" t="str">
        <f aca="false">IF($F15="Protetor","1 · Discordo totalmente","5 · Concordo totalmente")</f>
        <v>1 · Discordo totalmente</v>
      </c>
      <c r="H15" s="28" t="str">
        <f aca="false">IF($F15="Protetor","5 · Concordo totalmente","1 · Discordo totalmente")</f>
        <v>5 · Concordo totalmente</v>
      </c>
      <c r="I15" s="29" t="n">
        <f aca="false">IF($F15="Protetor",(('Como ler'!$C$21-'Como ler'!$C$15)/('Como ler'!$C$21-'Como ler'!$C$20)*100),(('Como ler'!$C$15-'Como ler'!$C$20)/('Como ler'!$C$21-'Como ler'!$C$20)*100))</f>
        <v>100</v>
      </c>
      <c r="J15" s="29" t="n">
        <f aca="false">IF($F15="Protetor",(('Como ler'!$C$21-'Como ler'!$C$16)/('Como ler'!$C$21-'Como ler'!$C$20)*100),(('Como ler'!$C$16-'Como ler'!$C$20)/('Como ler'!$C$21-'Como ler'!$C$20)*100))</f>
        <v>75</v>
      </c>
      <c r="K15" s="29" t="n">
        <f aca="false">IF($F15="Protetor",(('Como ler'!$C$21-'Como ler'!$C$17)/('Como ler'!$C$21-'Como ler'!$C$20)*100),(('Como ler'!$C$17-'Como ler'!$C$20)/('Como ler'!$C$21-'Como ler'!$C$20)*100))</f>
        <v>50</v>
      </c>
      <c r="L15" s="29" t="n">
        <f aca="false">IF($F15="Protetor",(('Como ler'!$C$21-'Como ler'!$C$18)/('Como ler'!$C$21-'Como ler'!$C$20)*100),(('Como ler'!$C$18-'Como ler'!$C$20)/('Como ler'!$C$21-'Como ler'!$C$20)*100))</f>
        <v>25</v>
      </c>
      <c r="M15" s="29" t="n">
        <f aca="false">IF($F15="Protetor",(('Como ler'!$C$21-'Como ler'!$C$19)/('Como ler'!$C$21-'Como ler'!$C$20)*100),(('Como ler'!$C$19-'Como ler'!$C$20)/('Como ler'!$C$21-'Como ler'!$C$20)*100))</f>
        <v>0</v>
      </c>
      <c r="N15" s="25"/>
      <c r="O15" s="25"/>
    </row>
    <row r="16" customFormat="false" ht="30" hidden="false" customHeight="true" outlineLevel="0" collapsed="false">
      <c r="A16" s="16" t="s">
        <v>73</v>
      </c>
      <c r="B16" s="17" t="s">
        <v>74</v>
      </c>
      <c r="C16" s="18" t="s">
        <v>75</v>
      </c>
      <c r="D16" s="17" t="n">
        <v>1.2</v>
      </c>
      <c r="E16" s="18" t="s">
        <v>76</v>
      </c>
      <c r="F16" s="19" t="s">
        <v>46</v>
      </c>
      <c r="G16" s="20" t="str">
        <f aca="false">IF($F16="Protetor","1 · Discordo totalmente","5 · Concordo totalmente")</f>
        <v>1 · Discordo totalmente</v>
      </c>
      <c r="H16" s="21" t="str">
        <f aca="false">IF($F16="Protetor","5 · Concordo totalmente","1 · Discordo totalmente")</f>
        <v>5 · Concordo totalmente</v>
      </c>
      <c r="I16" s="22" t="n">
        <f aca="false">IF($F16="Protetor",(('Como ler'!$C$21-'Como ler'!$C$15)/('Como ler'!$C$21-'Como ler'!$C$20)*100),(('Como ler'!$C$15-'Como ler'!$C$20)/('Como ler'!$C$21-'Como ler'!$C$20)*100))</f>
        <v>100</v>
      </c>
      <c r="J16" s="22" t="n">
        <f aca="false">IF($F16="Protetor",(('Como ler'!$C$21-'Como ler'!$C$16)/('Como ler'!$C$21-'Como ler'!$C$20)*100),(('Como ler'!$C$16-'Como ler'!$C$20)/('Como ler'!$C$21-'Como ler'!$C$20)*100))</f>
        <v>75</v>
      </c>
      <c r="K16" s="22" t="n">
        <f aca="false">IF($F16="Protetor",(('Como ler'!$C$21-'Como ler'!$C$17)/('Como ler'!$C$21-'Como ler'!$C$20)*100),(('Como ler'!$C$17-'Como ler'!$C$20)/('Como ler'!$C$21-'Como ler'!$C$20)*100))</f>
        <v>50</v>
      </c>
      <c r="L16" s="22" t="n">
        <f aca="false">IF($F16="Protetor",(('Como ler'!$C$21-'Como ler'!$C$18)/('Como ler'!$C$21-'Como ler'!$C$20)*100),(('Como ler'!$C$18-'Como ler'!$C$20)/('Como ler'!$C$21-'Como ler'!$C$20)*100))</f>
        <v>25</v>
      </c>
      <c r="M16" s="22" t="n">
        <f aca="false">IF($F16="Protetor",(('Como ler'!$C$21-'Como ler'!$C$19)/('Como ler'!$C$21-'Como ler'!$C$20)*100),(('Como ler'!$C$19-'Como ler'!$C$20)/('Como ler'!$C$21-'Como ler'!$C$20)*100))</f>
        <v>0</v>
      </c>
      <c r="N16" s="18"/>
      <c r="O16" s="18"/>
    </row>
    <row r="17" customFormat="false" ht="30" hidden="false" customHeight="true" outlineLevel="0" collapsed="false">
      <c r="A17" s="23" t="s">
        <v>77</v>
      </c>
      <c r="B17" s="24" t="s">
        <v>74</v>
      </c>
      <c r="C17" s="25" t="s">
        <v>75</v>
      </c>
      <c r="D17" s="24" t="n">
        <v>1.2</v>
      </c>
      <c r="E17" s="25" t="s">
        <v>78</v>
      </c>
      <c r="F17" s="26" t="s">
        <v>79</v>
      </c>
      <c r="G17" s="27" t="str">
        <f aca="false">IF($F17="Protetor","1 · Discordo totalmente","5 · Concordo totalmente")</f>
        <v>5 · Concordo totalmente</v>
      </c>
      <c r="H17" s="28" t="str">
        <f aca="false">IF($F17="Protetor","5 · Concordo totalmente","1 · Discordo totalmente")</f>
        <v>1 · Discordo totalmente</v>
      </c>
      <c r="I17" s="29" t="n">
        <f aca="false">IF($F17="Protetor",(('Como ler'!$C$21-'Como ler'!$C$15)/('Como ler'!$C$21-'Como ler'!$C$20)*100),(('Como ler'!$C$15-'Como ler'!$C$20)/('Como ler'!$C$21-'Como ler'!$C$20)*100))</f>
        <v>0</v>
      </c>
      <c r="J17" s="29" t="n">
        <f aca="false">IF($F17="Protetor",(('Como ler'!$C$21-'Como ler'!$C$16)/('Como ler'!$C$21-'Como ler'!$C$20)*100),(('Como ler'!$C$16-'Como ler'!$C$20)/('Como ler'!$C$21-'Como ler'!$C$20)*100))</f>
        <v>25</v>
      </c>
      <c r="K17" s="29" t="n">
        <f aca="false">IF($F17="Protetor",(('Como ler'!$C$21-'Como ler'!$C$17)/('Como ler'!$C$21-'Como ler'!$C$20)*100),(('Como ler'!$C$17-'Como ler'!$C$20)/('Como ler'!$C$21-'Como ler'!$C$20)*100))</f>
        <v>50</v>
      </c>
      <c r="L17" s="29" t="n">
        <f aca="false">IF($F17="Protetor",(('Como ler'!$C$21-'Como ler'!$C$18)/('Como ler'!$C$21-'Como ler'!$C$20)*100),(('Como ler'!$C$18-'Como ler'!$C$20)/('Como ler'!$C$21-'Como ler'!$C$20)*100))</f>
        <v>75</v>
      </c>
      <c r="M17" s="29" t="n">
        <f aca="false">IF($F17="Protetor",(('Como ler'!$C$21-'Como ler'!$C$19)/('Como ler'!$C$21-'Como ler'!$C$20)*100),(('Como ler'!$C$19-'Como ler'!$C$20)/('Como ler'!$C$21-'Como ler'!$C$20)*100))</f>
        <v>100</v>
      </c>
      <c r="N17" s="25"/>
      <c r="O17" s="25"/>
    </row>
    <row r="18" customFormat="false" ht="30" hidden="false" customHeight="true" outlineLevel="0" collapsed="false">
      <c r="A18" s="16" t="s">
        <v>80</v>
      </c>
      <c r="B18" s="17" t="s">
        <v>74</v>
      </c>
      <c r="C18" s="18" t="s">
        <v>75</v>
      </c>
      <c r="D18" s="17" t="n">
        <v>1.2</v>
      </c>
      <c r="E18" s="18" t="s">
        <v>81</v>
      </c>
      <c r="F18" s="19" t="s">
        <v>46</v>
      </c>
      <c r="G18" s="20" t="str">
        <f aca="false">IF($F18="Protetor","1 · Discordo totalmente","5 · Concordo totalmente")</f>
        <v>1 · Discordo totalmente</v>
      </c>
      <c r="H18" s="21" t="str">
        <f aca="false">IF($F18="Protetor","5 · Concordo totalmente","1 · Discordo totalmente")</f>
        <v>5 · Concordo totalmente</v>
      </c>
      <c r="I18" s="22" t="n">
        <f aca="false">IF($F18="Protetor",(('Como ler'!$C$21-'Como ler'!$C$15)/('Como ler'!$C$21-'Como ler'!$C$20)*100),(('Como ler'!$C$15-'Como ler'!$C$20)/('Como ler'!$C$21-'Como ler'!$C$20)*100))</f>
        <v>100</v>
      </c>
      <c r="J18" s="22" t="n">
        <f aca="false">IF($F18="Protetor",(('Como ler'!$C$21-'Como ler'!$C$16)/('Como ler'!$C$21-'Como ler'!$C$20)*100),(('Como ler'!$C$16-'Como ler'!$C$20)/('Como ler'!$C$21-'Como ler'!$C$20)*100))</f>
        <v>75</v>
      </c>
      <c r="K18" s="22" t="n">
        <f aca="false">IF($F18="Protetor",(('Como ler'!$C$21-'Como ler'!$C$17)/('Como ler'!$C$21-'Como ler'!$C$20)*100),(('Como ler'!$C$17-'Como ler'!$C$20)/('Como ler'!$C$21-'Como ler'!$C$20)*100))</f>
        <v>50</v>
      </c>
      <c r="L18" s="22" t="n">
        <f aca="false">IF($F18="Protetor",(('Como ler'!$C$21-'Como ler'!$C$18)/('Como ler'!$C$21-'Como ler'!$C$20)*100),(('Como ler'!$C$18-'Como ler'!$C$20)/('Como ler'!$C$21-'Como ler'!$C$20)*100))</f>
        <v>25</v>
      </c>
      <c r="M18" s="22" t="n">
        <f aca="false">IF($F18="Protetor",(('Como ler'!$C$21-'Como ler'!$C$19)/('Como ler'!$C$21-'Como ler'!$C$20)*100),(('Como ler'!$C$19-'Como ler'!$C$20)/('Como ler'!$C$21-'Como ler'!$C$20)*100))</f>
        <v>0</v>
      </c>
      <c r="N18" s="18"/>
      <c r="O18" s="18"/>
    </row>
    <row r="19" customFormat="false" ht="30" hidden="false" customHeight="true" outlineLevel="0" collapsed="false">
      <c r="A19" s="23" t="s">
        <v>82</v>
      </c>
      <c r="B19" s="24" t="s">
        <v>74</v>
      </c>
      <c r="C19" s="25" t="s">
        <v>75</v>
      </c>
      <c r="D19" s="24" t="n">
        <v>1.2</v>
      </c>
      <c r="E19" s="25" t="s">
        <v>83</v>
      </c>
      <c r="F19" s="26" t="s">
        <v>79</v>
      </c>
      <c r="G19" s="27" t="str">
        <f aca="false">IF($F19="Protetor","1 · Discordo totalmente","5 · Concordo totalmente")</f>
        <v>5 · Concordo totalmente</v>
      </c>
      <c r="H19" s="28" t="str">
        <f aca="false">IF($F19="Protetor","5 · Concordo totalmente","1 · Discordo totalmente")</f>
        <v>1 · Discordo totalmente</v>
      </c>
      <c r="I19" s="29" t="n">
        <f aca="false">IF($F19="Protetor",(('Como ler'!$C$21-'Como ler'!$C$15)/('Como ler'!$C$21-'Como ler'!$C$20)*100),(('Como ler'!$C$15-'Como ler'!$C$20)/('Como ler'!$C$21-'Como ler'!$C$20)*100))</f>
        <v>0</v>
      </c>
      <c r="J19" s="29" t="n">
        <f aca="false">IF($F19="Protetor",(('Como ler'!$C$21-'Como ler'!$C$16)/('Como ler'!$C$21-'Como ler'!$C$20)*100),(('Como ler'!$C$16-'Como ler'!$C$20)/('Como ler'!$C$21-'Como ler'!$C$20)*100))</f>
        <v>25</v>
      </c>
      <c r="K19" s="29" t="n">
        <f aca="false">IF($F19="Protetor",(('Como ler'!$C$21-'Como ler'!$C$17)/('Como ler'!$C$21-'Como ler'!$C$20)*100),(('Como ler'!$C$17-'Como ler'!$C$20)/('Como ler'!$C$21-'Como ler'!$C$20)*100))</f>
        <v>50</v>
      </c>
      <c r="L19" s="29" t="n">
        <f aca="false">IF($F19="Protetor",(('Como ler'!$C$21-'Como ler'!$C$18)/('Como ler'!$C$21-'Como ler'!$C$20)*100),(('Como ler'!$C$18-'Como ler'!$C$20)/('Como ler'!$C$21-'Como ler'!$C$20)*100))</f>
        <v>75</v>
      </c>
      <c r="M19" s="29" t="n">
        <f aca="false">IF($F19="Protetor",(('Como ler'!$C$21-'Como ler'!$C$19)/('Como ler'!$C$21-'Como ler'!$C$20)*100),(('Como ler'!$C$19-'Como ler'!$C$20)/('Como ler'!$C$21-'Como ler'!$C$20)*100))</f>
        <v>100</v>
      </c>
      <c r="N19" s="25"/>
      <c r="O19" s="25"/>
    </row>
    <row r="20" customFormat="false" ht="30" hidden="false" customHeight="true" outlineLevel="0" collapsed="false">
      <c r="A20" s="16" t="s">
        <v>84</v>
      </c>
      <c r="B20" s="17" t="s">
        <v>85</v>
      </c>
      <c r="C20" s="18" t="s">
        <v>86</v>
      </c>
      <c r="D20" s="17" t="n">
        <v>1</v>
      </c>
      <c r="E20" s="18" t="s">
        <v>87</v>
      </c>
      <c r="F20" s="19" t="s">
        <v>46</v>
      </c>
      <c r="G20" s="20" t="str">
        <f aca="false">IF($F20="Protetor","1 · Discordo totalmente","5 · Concordo totalmente")</f>
        <v>1 · Discordo totalmente</v>
      </c>
      <c r="H20" s="21" t="str">
        <f aca="false">IF($F20="Protetor","5 · Concordo totalmente","1 · Discordo totalmente")</f>
        <v>5 · Concordo totalmente</v>
      </c>
      <c r="I20" s="22" t="n">
        <f aca="false">IF($F20="Protetor",(('Como ler'!$C$21-'Como ler'!$C$15)/('Como ler'!$C$21-'Como ler'!$C$20)*100),(('Como ler'!$C$15-'Como ler'!$C$20)/('Como ler'!$C$21-'Como ler'!$C$20)*100))</f>
        <v>100</v>
      </c>
      <c r="J20" s="22" t="n">
        <f aca="false">IF($F20="Protetor",(('Como ler'!$C$21-'Como ler'!$C$16)/('Como ler'!$C$21-'Como ler'!$C$20)*100),(('Como ler'!$C$16-'Como ler'!$C$20)/('Como ler'!$C$21-'Como ler'!$C$20)*100))</f>
        <v>75</v>
      </c>
      <c r="K20" s="22" t="n">
        <f aca="false">IF($F20="Protetor",(('Como ler'!$C$21-'Como ler'!$C$17)/('Como ler'!$C$21-'Como ler'!$C$20)*100),(('Como ler'!$C$17-'Como ler'!$C$20)/('Como ler'!$C$21-'Como ler'!$C$20)*100))</f>
        <v>50</v>
      </c>
      <c r="L20" s="22" t="n">
        <f aca="false">IF($F20="Protetor",(('Como ler'!$C$21-'Como ler'!$C$18)/('Como ler'!$C$21-'Como ler'!$C$20)*100),(('Como ler'!$C$18-'Como ler'!$C$20)/('Como ler'!$C$21-'Como ler'!$C$20)*100))</f>
        <v>25</v>
      </c>
      <c r="M20" s="22" t="n">
        <f aca="false">IF($F20="Protetor",(('Como ler'!$C$21-'Como ler'!$C$19)/('Como ler'!$C$21-'Como ler'!$C$20)*100),(('Como ler'!$C$19-'Como ler'!$C$20)/('Como ler'!$C$21-'Como ler'!$C$20)*100))</f>
        <v>0</v>
      </c>
      <c r="N20" s="18"/>
      <c r="O20" s="18"/>
    </row>
    <row r="21" customFormat="false" ht="30" hidden="false" customHeight="true" outlineLevel="0" collapsed="false">
      <c r="A21" s="23" t="s">
        <v>88</v>
      </c>
      <c r="B21" s="24" t="s">
        <v>85</v>
      </c>
      <c r="C21" s="25" t="s">
        <v>86</v>
      </c>
      <c r="D21" s="24" t="n">
        <v>1</v>
      </c>
      <c r="E21" s="25" t="s">
        <v>89</v>
      </c>
      <c r="F21" s="26" t="s">
        <v>46</v>
      </c>
      <c r="G21" s="27" t="str">
        <f aca="false">IF($F21="Protetor","1 · Discordo totalmente","5 · Concordo totalmente")</f>
        <v>1 · Discordo totalmente</v>
      </c>
      <c r="H21" s="28" t="str">
        <f aca="false">IF($F21="Protetor","5 · Concordo totalmente","1 · Discordo totalmente")</f>
        <v>5 · Concordo totalmente</v>
      </c>
      <c r="I21" s="29" t="n">
        <f aca="false">IF($F21="Protetor",(('Como ler'!$C$21-'Como ler'!$C$15)/('Como ler'!$C$21-'Como ler'!$C$20)*100),(('Como ler'!$C$15-'Como ler'!$C$20)/('Como ler'!$C$21-'Como ler'!$C$20)*100))</f>
        <v>100</v>
      </c>
      <c r="J21" s="29" t="n">
        <f aca="false">IF($F21="Protetor",(('Como ler'!$C$21-'Como ler'!$C$16)/('Como ler'!$C$21-'Como ler'!$C$20)*100),(('Como ler'!$C$16-'Como ler'!$C$20)/('Como ler'!$C$21-'Como ler'!$C$20)*100))</f>
        <v>75</v>
      </c>
      <c r="K21" s="29" t="n">
        <f aca="false">IF($F21="Protetor",(('Como ler'!$C$21-'Como ler'!$C$17)/('Como ler'!$C$21-'Como ler'!$C$20)*100),(('Como ler'!$C$17-'Como ler'!$C$20)/('Como ler'!$C$21-'Como ler'!$C$20)*100))</f>
        <v>50</v>
      </c>
      <c r="L21" s="29" t="n">
        <f aca="false">IF($F21="Protetor",(('Como ler'!$C$21-'Como ler'!$C$18)/('Como ler'!$C$21-'Como ler'!$C$20)*100),(('Como ler'!$C$18-'Como ler'!$C$20)/('Como ler'!$C$21-'Como ler'!$C$20)*100))</f>
        <v>25</v>
      </c>
      <c r="M21" s="29" t="n">
        <f aca="false">IF($F21="Protetor",(('Como ler'!$C$21-'Como ler'!$C$19)/('Como ler'!$C$21-'Como ler'!$C$20)*100),(('Como ler'!$C$19-'Como ler'!$C$20)/('Como ler'!$C$21-'Como ler'!$C$20)*100))</f>
        <v>0</v>
      </c>
      <c r="N21" s="25"/>
      <c r="O21" s="25"/>
    </row>
    <row r="22" customFormat="false" ht="30" hidden="false" customHeight="true" outlineLevel="0" collapsed="false">
      <c r="A22" s="16" t="s">
        <v>90</v>
      </c>
      <c r="B22" s="17" t="s">
        <v>85</v>
      </c>
      <c r="C22" s="18" t="s">
        <v>86</v>
      </c>
      <c r="D22" s="17" t="n">
        <v>1</v>
      </c>
      <c r="E22" s="18" t="s">
        <v>91</v>
      </c>
      <c r="F22" s="19" t="s">
        <v>46</v>
      </c>
      <c r="G22" s="20" t="str">
        <f aca="false">IF($F22="Protetor","1 · Discordo totalmente","5 · Concordo totalmente")</f>
        <v>1 · Discordo totalmente</v>
      </c>
      <c r="H22" s="21" t="str">
        <f aca="false">IF($F22="Protetor","5 · Concordo totalmente","1 · Discordo totalmente")</f>
        <v>5 · Concordo totalmente</v>
      </c>
      <c r="I22" s="22" t="n">
        <f aca="false">IF($F22="Protetor",(('Como ler'!$C$21-'Como ler'!$C$15)/('Como ler'!$C$21-'Como ler'!$C$20)*100),(('Como ler'!$C$15-'Como ler'!$C$20)/('Como ler'!$C$21-'Como ler'!$C$20)*100))</f>
        <v>100</v>
      </c>
      <c r="J22" s="22" t="n">
        <f aca="false">IF($F22="Protetor",(('Como ler'!$C$21-'Como ler'!$C$16)/('Como ler'!$C$21-'Como ler'!$C$20)*100),(('Como ler'!$C$16-'Como ler'!$C$20)/('Como ler'!$C$21-'Como ler'!$C$20)*100))</f>
        <v>75</v>
      </c>
      <c r="K22" s="22" t="n">
        <f aca="false">IF($F22="Protetor",(('Como ler'!$C$21-'Como ler'!$C$17)/('Como ler'!$C$21-'Como ler'!$C$20)*100),(('Como ler'!$C$17-'Como ler'!$C$20)/('Como ler'!$C$21-'Como ler'!$C$20)*100))</f>
        <v>50</v>
      </c>
      <c r="L22" s="22" t="n">
        <f aca="false">IF($F22="Protetor",(('Como ler'!$C$21-'Como ler'!$C$18)/('Como ler'!$C$21-'Como ler'!$C$20)*100),(('Como ler'!$C$18-'Como ler'!$C$20)/('Como ler'!$C$21-'Como ler'!$C$20)*100))</f>
        <v>25</v>
      </c>
      <c r="M22" s="22" t="n">
        <f aca="false">IF($F22="Protetor",(('Como ler'!$C$21-'Como ler'!$C$19)/('Como ler'!$C$21-'Como ler'!$C$20)*100),(('Como ler'!$C$19-'Como ler'!$C$20)/('Como ler'!$C$21-'Como ler'!$C$20)*100))</f>
        <v>0</v>
      </c>
      <c r="N22" s="18"/>
      <c r="O22" s="18"/>
    </row>
    <row r="23" customFormat="false" ht="30" hidden="false" customHeight="true" outlineLevel="0" collapsed="false">
      <c r="A23" s="23" t="s">
        <v>92</v>
      </c>
      <c r="B23" s="24" t="s">
        <v>93</v>
      </c>
      <c r="C23" s="25" t="s">
        <v>94</v>
      </c>
      <c r="D23" s="24" t="n">
        <v>1.4</v>
      </c>
      <c r="E23" s="25" t="s">
        <v>95</v>
      </c>
      <c r="F23" s="26" t="s">
        <v>46</v>
      </c>
      <c r="G23" s="27" t="str">
        <f aca="false">IF($F23="Protetor","1 · Discordo totalmente","5 · Concordo totalmente")</f>
        <v>1 · Discordo totalmente</v>
      </c>
      <c r="H23" s="28" t="str">
        <f aca="false">IF($F23="Protetor","5 · Concordo totalmente","1 · Discordo totalmente")</f>
        <v>5 · Concordo totalmente</v>
      </c>
      <c r="I23" s="29" t="n">
        <f aca="false">IF($F23="Protetor",(('Como ler'!$C$21-'Como ler'!$C$15)/('Como ler'!$C$21-'Como ler'!$C$20)*100),(('Como ler'!$C$15-'Como ler'!$C$20)/('Como ler'!$C$21-'Como ler'!$C$20)*100))</f>
        <v>100</v>
      </c>
      <c r="J23" s="29" t="n">
        <f aca="false">IF($F23="Protetor",(('Como ler'!$C$21-'Como ler'!$C$16)/('Como ler'!$C$21-'Como ler'!$C$20)*100),(('Como ler'!$C$16-'Como ler'!$C$20)/('Como ler'!$C$21-'Como ler'!$C$20)*100))</f>
        <v>75</v>
      </c>
      <c r="K23" s="29" t="n">
        <f aca="false">IF($F23="Protetor",(('Como ler'!$C$21-'Como ler'!$C$17)/('Como ler'!$C$21-'Como ler'!$C$20)*100),(('Como ler'!$C$17-'Como ler'!$C$20)/('Como ler'!$C$21-'Como ler'!$C$20)*100))</f>
        <v>50</v>
      </c>
      <c r="L23" s="29" t="n">
        <f aca="false">IF($F23="Protetor",(('Como ler'!$C$21-'Como ler'!$C$18)/('Como ler'!$C$21-'Como ler'!$C$20)*100),(('Como ler'!$C$18-'Como ler'!$C$20)/('Como ler'!$C$21-'Como ler'!$C$20)*100))</f>
        <v>25</v>
      </c>
      <c r="M23" s="29" t="n">
        <f aca="false">IF($F23="Protetor",(('Como ler'!$C$21-'Como ler'!$C$19)/('Como ler'!$C$21-'Como ler'!$C$20)*100),(('Como ler'!$C$19-'Como ler'!$C$20)/('Como ler'!$C$21-'Como ler'!$C$20)*100))</f>
        <v>0</v>
      </c>
      <c r="N23" s="25"/>
      <c r="O23" s="25"/>
    </row>
    <row r="24" customFormat="false" ht="30" hidden="false" customHeight="true" outlineLevel="0" collapsed="false">
      <c r="A24" s="16" t="s">
        <v>96</v>
      </c>
      <c r="B24" s="17" t="s">
        <v>93</v>
      </c>
      <c r="C24" s="18" t="s">
        <v>94</v>
      </c>
      <c r="D24" s="17" t="n">
        <v>1.4</v>
      </c>
      <c r="E24" s="18" t="s">
        <v>97</v>
      </c>
      <c r="F24" s="19" t="s">
        <v>46</v>
      </c>
      <c r="G24" s="20" t="str">
        <f aca="false">IF($F24="Protetor","1 · Discordo totalmente","5 · Concordo totalmente")</f>
        <v>1 · Discordo totalmente</v>
      </c>
      <c r="H24" s="21" t="str">
        <f aca="false">IF($F24="Protetor","5 · Concordo totalmente","1 · Discordo totalmente")</f>
        <v>5 · Concordo totalmente</v>
      </c>
      <c r="I24" s="22" t="n">
        <f aca="false">IF($F24="Protetor",(('Como ler'!$C$21-'Como ler'!$C$15)/('Como ler'!$C$21-'Como ler'!$C$20)*100),(('Como ler'!$C$15-'Como ler'!$C$20)/('Como ler'!$C$21-'Como ler'!$C$20)*100))</f>
        <v>100</v>
      </c>
      <c r="J24" s="22" t="n">
        <f aca="false">IF($F24="Protetor",(('Como ler'!$C$21-'Como ler'!$C$16)/('Como ler'!$C$21-'Como ler'!$C$20)*100),(('Como ler'!$C$16-'Como ler'!$C$20)/('Como ler'!$C$21-'Como ler'!$C$20)*100))</f>
        <v>75</v>
      </c>
      <c r="K24" s="22" t="n">
        <f aca="false">IF($F24="Protetor",(('Como ler'!$C$21-'Como ler'!$C$17)/('Como ler'!$C$21-'Como ler'!$C$20)*100),(('Como ler'!$C$17-'Como ler'!$C$20)/('Como ler'!$C$21-'Como ler'!$C$20)*100))</f>
        <v>50</v>
      </c>
      <c r="L24" s="22" t="n">
        <f aca="false">IF($F24="Protetor",(('Como ler'!$C$21-'Como ler'!$C$18)/('Como ler'!$C$21-'Como ler'!$C$20)*100),(('Como ler'!$C$18-'Como ler'!$C$20)/('Como ler'!$C$21-'Como ler'!$C$20)*100))</f>
        <v>25</v>
      </c>
      <c r="M24" s="22" t="n">
        <f aca="false">IF($F24="Protetor",(('Como ler'!$C$21-'Como ler'!$C$19)/('Como ler'!$C$21-'Como ler'!$C$20)*100),(('Como ler'!$C$19-'Como ler'!$C$20)/('Como ler'!$C$21-'Como ler'!$C$20)*100))</f>
        <v>0</v>
      </c>
      <c r="N24" s="18"/>
      <c r="O24" s="18"/>
    </row>
    <row r="25" customFormat="false" ht="30" hidden="false" customHeight="true" outlineLevel="0" collapsed="false">
      <c r="A25" s="23" t="s">
        <v>98</v>
      </c>
      <c r="B25" s="24" t="s">
        <v>93</v>
      </c>
      <c r="C25" s="25" t="s">
        <v>94</v>
      </c>
      <c r="D25" s="24" t="n">
        <v>1.4</v>
      </c>
      <c r="E25" s="25" t="s">
        <v>99</v>
      </c>
      <c r="F25" s="26" t="s">
        <v>46</v>
      </c>
      <c r="G25" s="27" t="str">
        <f aca="false">IF($F25="Protetor","1 · Discordo totalmente","5 · Concordo totalmente")</f>
        <v>1 · Discordo totalmente</v>
      </c>
      <c r="H25" s="28" t="str">
        <f aca="false">IF($F25="Protetor","5 · Concordo totalmente","1 · Discordo totalmente")</f>
        <v>5 · Concordo totalmente</v>
      </c>
      <c r="I25" s="29" t="n">
        <f aca="false">IF($F25="Protetor",(('Como ler'!$C$21-'Como ler'!$C$15)/('Como ler'!$C$21-'Como ler'!$C$20)*100),(('Como ler'!$C$15-'Como ler'!$C$20)/('Como ler'!$C$21-'Como ler'!$C$20)*100))</f>
        <v>100</v>
      </c>
      <c r="J25" s="29" t="n">
        <f aca="false">IF($F25="Protetor",(('Como ler'!$C$21-'Como ler'!$C$16)/('Como ler'!$C$21-'Como ler'!$C$20)*100),(('Como ler'!$C$16-'Como ler'!$C$20)/('Como ler'!$C$21-'Como ler'!$C$20)*100))</f>
        <v>75</v>
      </c>
      <c r="K25" s="29" t="n">
        <f aca="false">IF($F25="Protetor",(('Como ler'!$C$21-'Como ler'!$C$17)/('Como ler'!$C$21-'Como ler'!$C$20)*100),(('Como ler'!$C$17-'Como ler'!$C$20)/('Como ler'!$C$21-'Como ler'!$C$20)*100))</f>
        <v>50</v>
      </c>
      <c r="L25" s="29" t="n">
        <f aca="false">IF($F25="Protetor",(('Como ler'!$C$21-'Como ler'!$C$18)/('Como ler'!$C$21-'Como ler'!$C$20)*100),(('Como ler'!$C$18-'Como ler'!$C$20)/('Como ler'!$C$21-'Como ler'!$C$20)*100))</f>
        <v>25</v>
      </c>
      <c r="M25" s="29" t="n">
        <f aca="false">IF($F25="Protetor",(('Como ler'!$C$21-'Como ler'!$C$19)/('Como ler'!$C$21-'Como ler'!$C$20)*100),(('Como ler'!$C$19-'Como ler'!$C$20)/('Como ler'!$C$21-'Como ler'!$C$20)*100))</f>
        <v>0</v>
      </c>
      <c r="N25" s="25"/>
      <c r="O25" s="25"/>
    </row>
    <row r="26" customFormat="false" ht="30" hidden="false" customHeight="true" outlineLevel="0" collapsed="false">
      <c r="A26" s="16" t="s">
        <v>100</v>
      </c>
      <c r="B26" s="17" t="s">
        <v>93</v>
      </c>
      <c r="C26" s="18" t="s">
        <v>94</v>
      </c>
      <c r="D26" s="17" t="n">
        <v>1.4</v>
      </c>
      <c r="E26" s="18" t="s">
        <v>101</v>
      </c>
      <c r="F26" s="19" t="s">
        <v>46</v>
      </c>
      <c r="G26" s="20" t="str">
        <f aca="false">IF($F26="Protetor","1 · Discordo totalmente","5 · Concordo totalmente")</f>
        <v>1 · Discordo totalmente</v>
      </c>
      <c r="H26" s="21" t="str">
        <f aca="false">IF($F26="Protetor","5 · Concordo totalmente","1 · Discordo totalmente")</f>
        <v>5 · Concordo totalmente</v>
      </c>
      <c r="I26" s="22" t="n">
        <f aca="false">IF($F26="Protetor",(('Como ler'!$C$21-'Como ler'!$C$15)/('Como ler'!$C$21-'Como ler'!$C$20)*100),(('Como ler'!$C$15-'Como ler'!$C$20)/('Como ler'!$C$21-'Como ler'!$C$20)*100))</f>
        <v>100</v>
      </c>
      <c r="J26" s="22" t="n">
        <f aca="false">IF($F26="Protetor",(('Como ler'!$C$21-'Como ler'!$C$16)/('Como ler'!$C$21-'Como ler'!$C$20)*100),(('Como ler'!$C$16-'Como ler'!$C$20)/('Como ler'!$C$21-'Como ler'!$C$20)*100))</f>
        <v>75</v>
      </c>
      <c r="K26" s="22" t="n">
        <f aca="false">IF($F26="Protetor",(('Como ler'!$C$21-'Como ler'!$C$17)/('Como ler'!$C$21-'Como ler'!$C$20)*100),(('Como ler'!$C$17-'Como ler'!$C$20)/('Como ler'!$C$21-'Como ler'!$C$20)*100))</f>
        <v>50</v>
      </c>
      <c r="L26" s="22" t="n">
        <f aca="false">IF($F26="Protetor",(('Como ler'!$C$21-'Como ler'!$C$18)/('Como ler'!$C$21-'Como ler'!$C$20)*100),(('Como ler'!$C$18-'Como ler'!$C$20)/('Como ler'!$C$21-'Como ler'!$C$20)*100))</f>
        <v>25</v>
      </c>
      <c r="M26" s="22" t="n">
        <f aca="false">IF($F26="Protetor",(('Como ler'!$C$21-'Como ler'!$C$19)/('Como ler'!$C$21-'Como ler'!$C$20)*100),(('Como ler'!$C$19-'Como ler'!$C$20)/('Como ler'!$C$21-'Como ler'!$C$20)*100))</f>
        <v>0</v>
      </c>
      <c r="N26" s="18"/>
      <c r="O26" s="18"/>
    </row>
    <row r="27" customFormat="false" ht="30" hidden="false" customHeight="true" outlineLevel="0" collapsed="false">
      <c r="A27" s="23" t="s">
        <v>102</v>
      </c>
      <c r="B27" s="24" t="s">
        <v>103</v>
      </c>
      <c r="C27" s="25" t="s">
        <v>104</v>
      </c>
      <c r="D27" s="24" t="n">
        <v>1.1</v>
      </c>
      <c r="E27" s="25" t="s">
        <v>105</v>
      </c>
      <c r="F27" s="26" t="s">
        <v>46</v>
      </c>
      <c r="G27" s="27" t="str">
        <f aca="false">IF($F27="Protetor","1 · Discordo totalmente","5 · Concordo totalmente")</f>
        <v>1 · Discordo totalmente</v>
      </c>
      <c r="H27" s="28" t="str">
        <f aca="false">IF($F27="Protetor","5 · Concordo totalmente","1 · Discordo totalmente")</f>
        <v>5 · Concordo totalmente</v>
      </c>
      <c r="I27" s="29" t="n">
        <f aca="false">IF($F27="Protetor",(('Como ler'!$C$21-'Como ler'!$C$15)/('Como ler'!$C$21-'Como ler'!$C$20)*100),(('Como ler'!$C$15-'Como ler'!$C$20)/('Como ler'!$C$21-'Como ler'!$C$20)*100))</f>
        <v>100</v>
      </c>
      <c r="J27" s="29" t="n">
        <f aca="false">IF($F27="Protetor",(('Como ler'!$C$21-'Como ler'!$C$16)/('Como ler'!$C$21-'Como ler'!$C$20)*100),(('Como ler'!$C$16-'Como ler'!$C$20)/('Como ler'!$C$21-'Como ler'!$C$20)*100))</f>
        <v>75</v>
      </c>
      <c r="K27" s="29" t="n">
        <f aca="false">IF($F27="Protetor",(('Como ler'!$C$21-'Como ler'!$C$17)/('Como ler'!$C$21-'Como ler'!$C$20)*100),(('Como ler'!$C$17-'Como ler'!$C$20)/('Como ler'!$C$21-'Como ler'!$C$20)*100))</f>
        <v>50</v>
      </c>
      <c r="L27" s="29" t="n">
        <f aca="false">IF($F27="Protetor",(('Como ler'!$C$21-'Como ler'!$C$18)/('Como ler'!$C$21-'Como ler'!$C$20)*100),(('Como ler'!$C$18-'Como ler'!$C$20)/('Como ler'!$C$21-'Como ler'!$C$20)*100))</f>
        <v>25</v>
      </c>
      <c r="M27" s="29" t="n">
        <f aca="false">IF($F27="Protetor",(('Como ler'!$C$21-'Como ler'!$C$19)/('Como ler'!$C$21-'Como ler'!$C$20)*100),(('Como ler'!$C$19-'Como ler'!$C$20)/('Como ler'!$C$21-'Como ler'!$C$20)*100))</f>
        <v>0</v>
      </c>
      <c r="N27" s="25"/>
      <c r="O27" s="25"/>
    </row>
    <row r="28" customFormat="false" ht="30" hidden="false" customHeight="true" outlineLevel="0" collapsed="false">
      <c r="A28" s="16" t="s">
        <v>106</v>
      </c>
      <c r="B28" s="17" t="s">
        <v>103</v>
      </c>
      <c r="C28" s="18" t="s">
        <v>104</v>
      </c>
      <c r="D28" s="17" t="n">
        <v>1.1</v>
      </c>
      <c r="E28" s="18" t="s">
        <v>107</v>
      </c>
      <c r="F28" s="19" t="s">
        <v>46</v>
      </c>
      <c r="G28" s="20" t="str">
        <f aca="false">IF($F28="Protetor","1 · Discordo totalmente","5 · Concordo totalmente")</f>
        <v>1 · Discordo totalmente</v>
      </c>
      <c r="H28" s="21" t="str">
        <f aca="false">IF($F28="Protetor","5 · Concordo totalmente","1 · Discordo totalmente")</f>
        <v>5 · Concordo totalmente</v>
      </c>
      <c r="I28" s="22" t="n">
        <f aca="false">IF($F28="Protetor",(('Como ler'!$C$21-'Como ler'!$C$15)/('Como ler'!$C$21-'Como ler'!$C$20)*100),(('Como ler'!$C$15-'Como ler'!$C$20)/('Como ler'!$C$21-'Como ler'!$C$20)*100))</f>
        <v>100</v>
      </c>
      <c r="J28" s="22" t="n">
        <f aca="false">IF($F28="Protetor",(('Como ler'!$C$21-'Como ler'!$C$16)/('Como ler'!$C$21-'Como ler'!$C$20)*100),(('Como ler'!$C$16-'Como ler'!$C$20)/('Como ler'!$C$21-'Como ler'!$C$20)*100))</f>
        <v>75</v>
      </c>
      <c r="K28" s="22" t="n">
        <f aca="false">IF($F28="Protetor",(('Como ler'!$C$21-'Como ler'!$C$17)/('Como ler'!$C$21-'Como ler'!$C$20)*100),(('Como ler'!$C$17-'Como ler'!$C$20)/('Como ler'!$C$21-'Como ler'!$C$20)*100))</f>
        <v>50</v>
      </c>
      <c r="L28" s="22" t="n">
        <f aca="false">IF($F28="Protetor",(('Como ler'!$C$21-'Como ler'!$C$18)/('Como ler'!$C$21-'Como ler'!$C$20)*100),(('Como ler'!$C$18-'Como ler'!$C$20)/('Como ler'!$C$21-'Como ler'!$C$20)*100))</f>
        <v>25</v>
      </c>
      <c r="M28" s="22" t="n">
        <f aca="false">IF($F28="Protetor",(('Como ler'!$C$21-'Como ler'!$C$19)/('Como ler'!$C$21-'Como ler'!$C$20)*100),(('Como ler'!$C$19-'Como ler'!$C$20)/('Como ler'!$C$21-'Como ler'!$C$20)*100))</f>
        <v>0</v>
      </c>
      <c r="N28" s="18"/>
      <c r="O28" s="18"/>
    </row>
    <row r="29" customFormat="false" ht="30" hidden="false" customHeight="true" outlineLevel="0" collapsed="false">
      <c r="A29" s="23" t="s">
        <v>108</v>
      </c>
      <c r="B29" s="24" t="s">
        <v>103</v>
      </c>
      <c r="C29" s="25" t="s">
        <v>104</v>
      </c>
      <c r="D29" s="24" t="n">
        <v>1.1</v>
      </c>
      <c r="E29" s="25" t="s">
        <v>109</v>
      </c>
      <c r="F29" s="26" t="s">
        <v>46</v>
      </c>
      <c r="G29" s="27" t="str">
        <f aca="false">IF($F29="Protetor","1 · Discordo totalmente","5 · Concordo totalmente")</f>
        <v>1 · Discordo totalmente</v>
      </c>
      <c r="H29" s="28" t="str">
        <f aca="false">IF($F29="Protetor","5 · Concordo totalmente","1 · Discordo totalmente")</f>
        <v>5 · Concordo totalmente</v>
      </c>
      <c r="I29" s="29" t="n">
        <f aca="false">IF($F29="Protetor",(('Como ler'!$C$21-'Como ler'!$C$15)/('Como ler'!$C$21-'Como ler'!$C$20)*100),(('Como ler'!$C$15-'Como ler'!$C$20)/('Como ler'!$C$21-'Como ler'!$C$20)*100))</f>
        <v>100</v>
      </c>
      <c r="J29" s="29" t="n">
        <f aca="false">IF($F29="Protetor",(('Como ler'!$C$21-'Como ler'!$C$16)/('Como ler'!$C$21-'Como ler'!$C$20)*100),(('Como ler'!$C$16-'Como ler'!$C$20)/('Como ler'!$C$21-'Como ler'!$C$20)*100))</f>
        <v>75</v>
      </c>
      <c r="K29" s="29" t="n">
        <f aca="false">IF($F29="Protetor",(('Como ler'!$C$21-'Como ler'!$C$17)/('Como ler'!$C$21-'Como ler'!$C$20)*100),(('Como ler'!$C$17-'Como ler'!$C$20)/('Como ler'!$C$21-'Como ler'!$C$20)*100))</f>
        <v>50</v>
      </c>
      <c r="L29" s="29" t="n">
        <f aca="false">IF($F29="Protetor",(('Como ler'!$C$21-'Como ler'!$C$18)/('Como ler'!$C$21-'Como ler'!$C$20)*100),(('Como ler'!$C$18-'Como ler'!$C$20)/('Como ler'!$C$21-'Como ler'!$C$20)*100))</f>
        <v>25</v>
      </c>
      <c r="M29" s="29" t="n">
        <f aca="false">IF($F29="Protetor",(('Como ler'!$C$21-'Como ler'!$C$19)/('Como ler'!$C$21-'Como ler'!$C$20)*100),(('Como ler'!$C$19-'Como ler'!$C$20)/('Como ler'!$C$21-'Como ler'!$C$20)*100))</f>
        <v>0</v>
      </c>
      <c r="N29" s="25"/>
      <c r="O29" s="25"/>
    </row>
    <row r="30" customFormat="false" ht="30" hidden="false" customHeight="true" outlineLevel="0" collapsed="false">
      <c r="A30" s="16" t="s">
        <v>110</v>
      </c>
      <c r="B30" s="17" t="s">
        <v>111</v>
      </c>
      <c r="C30" s="18" t="s">
        <v>112</v>
      </c>
      <c r="D30" s="17" t="n">
        <v>0.9</v>
      </c>
      <c r="E30" s="18" t="s">
        <v>113</v>
      </c>
      <c r="F30" s="19" t="s">
        <v>46</v>
      </c>
      <c r="G30" s="20" t="str">
        <f aca="false">IF($F30="Protetor","1 · Discordo totalmente","5 · Concordo totalmente")</f>
        <v>1 · Discordo totalmente</v>
      </c>
      <c r="H30" s="21" t="str">
        <f aca="false">IF($F30="Protetor","5 · Concordo totalmente","1 · Discordo totalmente")</f>
        <v>5 · Concordo totalmente</v>
      </c>
      <c r="I30" s="22" t="n">
        <f aca="false">IF($F30="Protetor",(('Como ler'!$C$21-'Como ler'!$C$15)/('Como ler'!$C$21-'Como ler'!$C$20)*100),(('Como ler'!$C$15-'Como ler'!$C$20)/('Como ler'!$C$21-'Como ler'!$C$20)*100))</f>
        <v>100</v>
      </c>
      <c r="J30" s="22" t="n">
        <f aca="false">IF($F30="Protetor",(('Como ler'!$C$21-'Como ler'!$C$16)/('Como ler'!$C$21-'Como ler'!$C$20)*100),(('Como ler'!$C$16-'Como ler'!$C$20)/('Como ler'!$C$21-'Como ler'!$C$20)*100))</f>
        <v>75</v>
      </c>
      <c r="K30" s="22" t="n">
        <f aca="false">IF($F30="Protetor",(('Como ler'!$C$21-'Como ler'!$C$17)/('Como ler'!$C$21-'Como ler'!$C$20)*100),(('Como ler'!$C$17-'Como ler'!$C$20)/('Como ler'!$C$21-'Como ler'!$C$20)*100))</f>
        <v>50</v>
      </c>
      <c r="L30" s="22" t="n">
        <f aca="false">IF($F30="Protetor",(('Como ler'!$C$21-'Como ler'!$C$18)/('Como ler'!$C$21-'Como ler'!$C$20)*100),(('Como ler'!$C$18-'Como ler'!$C$20)/('Como ler'!$C$21-'Como ler'!$C$20)*100))</f>
        <v>25</v>
      </c>
      <c r="M30" s="22" t="n">
        <f aca="false">IF($F30="Protetor",(('Como ler'!$C$21-'Como ler'!$C$19)/('Como ler'!$C$21-'Como ler'!$C$20)*100),(('Como ler'!$C$19-'Como ler'!$C$20)/('Como ler'!$C$21-'Como ler'!$C$20)*100))</f>
        <v>0</v>
      </c>
      <c r="N30" s="18"/>
      <c r="O30" s="18"/>
    </row>
    <row r="31" customFormat="false" ht="30" hidden="false" customHeight="true" outlineLevel="0" collapsed="false">
      <c r="A31" s="23" t="s">
        <v>114</v>
      </c>
      <c r="B31" s="24" t="s">
        <v>111</v>
      </c>
      <c r="C31" s="25" t="s">
        <v>112</v>
      </c>
      <c r="D31" s="24" t="n">
        <v>0.9</v>
      </c>
      <c r="E31" s="25" t="s">
        <v>115</v>
      </c>
      <c r="F31" s="26" t="s">
        <v>46</v>
      </c>
      <c r="G31" s="27" t="str">
        <f aca="false">IF($F31="Protetor","1 · Discordo totalmente","5 · Concordo totalmente")</f>
        <v>1 · Discordo totalmente</v>
      </c>
      <c r="H31" s="28" t="str">
        <f aca="false">IF($F31="Protetor","5 · Concordo totalmente","1 · Discordo totalmente")</f>
        <v>5 · Concordo totalmente</v>
      </c>
      <c r="I31" s="29" t="n">
        <f aca="false">IF($F31="Protetor",(('Como ler'!$C$21-'Como ler'!$C$15)/('Como ler'!$C$21-'Como ler'!$C$20)*100),(('Como ler'!$C$15-'Como ler'!$C$20)/('Como ler'!$C$21-'Como ler'!$C$20)*100))</f>
        <v>100</v>
      </c>
      <c r="J31" s="29" t="n">
        <f aca="false">IF($F31="Protetor",(('Como ler'!$C$21-'Como ler'!$C$16)/('Como ler'!$C$21-'Como ler'!$C$20)*100),(('Como ler'!$C$16-'Como ler'!$C$20)/('Como ler'!$C$21-'Como ler'!$C$20)*100))</f>
        <v>75</v>
      </c>
      <c r="K31" s="29" t="n">
        <f aca="false">IF($F31="Protetor",(('Como ler'!$C$21-'Como ler'!$C$17)/('Como ler'!$C$21-'Como ler'!$C$20)*100),(('Como ler'!$C$17-'Como ler'!$C$20)/('Como ler'!$C$21-'Como ler'!$C$20)*100))</f>
        <v>50</v>
      </c>
      <c r="L31" s="29" t="n">
        <f aca="false">IF($F31="Protetor",(('Como ler'!$C$21-'Como ler'!$C$18)/('Como ler'!$C$21-'Como ler'!$C$20)*100),(('Como ler'!$C$18-'Como ler'!$C$20)/('Como ler'!$C$21-'Como ler'!$C$20)*100))</f>
        <v>25</v>
      </c>
      <c r="M31" s="29" t="n">
        <f aca="false">IF($F31="Protetor",(('Como ler'!$C$21-'Como ler'!$C$19)/('Como ler'!$C$21-'Como ler'!$C$20)*100),(('Como ler'!$C$19-'Como ler'!$C$20)/('Como ler'!$C$21-'Como ler'!$C$20)*100))</f>
        <v>0</v>
      </c>
      <c r="N31" s="25"/>
      <c r="O31" s="25"/>
    </row>
    <row r="32" customFormat="false" ht="30" hidden="false" customHeight="true" outlineLevel="0" collapsed="false">
      <c r="A32" s="16" t="s">
        <v>116</v>
      </c>
      <c r="B32" s="17" t="s">
        <v>111</v>
      </c>
      <c r="C32" s="18" t="s">
        <v>112</v>
      </c>
      <c r="D32" s="17" t="n">
        <v>0.9</v>
      </c>
      <c r="E32" s="18" t="s">
        <v>117</v>
      </c>
      <c r="F32" s="19" t="s">
        <v>46</v>
      </c>
      <c r="G32" s="20" t="str">
        <f aca="false">IF($F32="Protetor","1 · Discordo totalmente","5 · Concordo totalmente")</f>
        <v>1 · Discordo totalmente</v>
      </c>
      <c r="H32" s="21" t="str">
        <f aca="false">IF($F32="Protetor","5 · Concordo totalmente","1 · Discordo totalmente")</f>
        <v>5 · Concordo totalmente</v>
      </c>
      <c r="I32" s="22" t="n">
        <f aca="false">IF($F32="Protetor",(('Como ler'!$C$21-'Como ler'!$C$15)/('Como ler'!$C$21-'Como ler'!$C$20)*100),(('Como ler'!$C$15-'Como ler'!$C$20)/('Como ler'!$C$21-'Como ler'!$C$20)*100))</f>
        <v>100</v>
      </c>
      <c r="J32" s="22" t="n">
        <f aca="false">IF($F32="Protetor",(('Como ler'!$C$21-'Como ler'!$C$16)/('Como ler'!$C$21-'Como ler'!$C$20)*100),(('Como ler'!$C$16-'Como ler'!$C$20)/('Como ler'!$C$21-'Como ler'!$C$20)*100))</f>
        <v>75</v>
      </c>
      <c r="K32" s="22" t="n">
        <f aca="false">IF($F32="Protetor",(('Como ler'!$C$21-'Como ler'!$C$17)/('Como ler'!$C$21-'Como ler'!$C$20)*100),(('Como ler'!$C$17-'Como ler'!$C$20)/('Como ler'!$C$21-'Como ler'!$C$20)*100))</f>
        <v>50</v>
      </c>
      <c r="L32" s="22" t="n">
        <f aca="false">IF($F32="Protetor",(('Como ler'!$C$21-'Como ler'!$C$18)/('Como ler'!$C$21-'Como ler'!$C$20)*100),(('Como ler'!$C$18-'Como ler'!$C$20)/('Como ler'!$C$21-'Como ler'!$C$20)*100))</f>
        <v>25</v>
      </c>
      <c r="M32" s="22" t="n">
        <f aca="false">IF($F32="Protetor",(('Como ler'!$C$21-'Como ler'!$C$19)/('Como ler'!$C$21-'Como ler'!$C$20)*100),(('Como ler'!$C$19-'Como ler'!$C$20)/('Como ler'!$C$21-'Como ler'!$C$20)*100))</f>
        <v>0</v>
      </c>
      <c r="N32" s="18"/>
      <c r="O32" s="18"/>
    </row>
    <row r="33" customFormat="false" ht="30" hidden="false" customHeight="true" outlineLevel="0" collapsed="false">
      <c r="A33" s="23" t="s">
        <v>118</v>
      </c>
      <c r="B33" s="24" t="s">
        <v>119</v>
      </c>
      <c r="C33" s="25" t="s">
        <v>120</v>
      </c>
      <c r="D33" s="24" t="n">
        <v>1.1</v>
      </c>
      <c r="E33" s="25" t="s">
        <v>121</v>
      </c>
      <c r="F33" s="26" t="s">
        <v>46</v>
      </c>
      <c r="G33" s="27" t="str">
        <f aca="false">IF($F33="Protetor","1 · Discordo totalmente","5 · Concordo totalmente")</f>
        <v>1 · Discordo totalmente</v>
      </c>
      <c r="H33" s="28" t="str">
        <f aca="false">IF($F33="Protetor","5 · Concordo totalmente","1 · Discordo totalmente")</f>
        <v>5 · Concordo totalmente</v>
      </c>
      <c r="I33" s="29" t="n">
        <f aca="false">IF($F33="Protetor",(('Como ler'!$C$21-'Como ler'!$C$15)/('Como ler'!$C$21-'Como ler'!$C$20)*100),(('Como ler'!$C$15-'Como ler'!$C$20)/('Como ler'!$C$21-'Como ler'!$C$20)*100))</f>
        <v>100</v>
      </c>
      <c r="J33" s="29" t="n">
        <f aca="false">IF($F33="Protetor",(('Como ler'!$C$21-'Como ler'!$C$16)/('Como ler'!$C$21-'Como ler'!$C$20)*100),(('Como ler'!$C$16-'Como ler'!$C$20)/('Como ler'!$C$21-'Como ler'!$C$20)*100))</f>
        <v>75</v>
      </c>
      <c r="K33" s="29" t="n">
        <f aca="false">IF($F33="Protetor",(('Como ler'!$C$21-'Como ler'!$C$17)/('Como ler'!$C$21-'Como ler'!$C$20)*100),(('Como ler'!$C$17-'Como ler'!$C$20)/('Como ler'!$C$21-'Como ler'!$C$20)*100))</f>
        <v>50</v>
      </c>
      <c r="L33" s="29" t="n">
        <f aca="false">IF($F33="Protetor",(('Como ler'!$C$21-'Como ler'!$C$18)/('Como ler'!$C$21-'Como ler'!$C$20)*100),(('Como ler'!$C$18-'Como ler'!$C$20)/('Como ler'!$C$21-'Como ler'!$C$20)*100))</f>
        <v>25</v>
      </c>
      <c r="M33" s="29" t="n">
        <f aca="false">IF($F33="Protetor",(('Como ler'!$C$21-'Como ler'!$C$19)/('Como ler'!$C$21-'Como ler'!$C$20)*100),(('Como ler'!$C$19-'Como ler'!$C$20)/('Como ler'!$C$21-'Como ler'!$C$20)*100))</f>
        <v>0</v>
      </c>
      <c r="N33" s="25"/>
      <c r="O33" s="25"/>
    </row>
    <row r="34" customFormat="false" ht="30" hidden="false" customHeight="true" outlineLevel="0" collapsed="false">
      <c r="A34" s="16" t="s">
        <v>122</v>
      </c>
      <c r="B34" s="17" t="s">
        <v>119</v>
      </c>
      <c r="C34" s="18" t="s">
        <v>120</v>
      </c>
      <c r="D34" s="17" t="n">
        <v>1.1</v>
      </c>
      <c r="E34" s="18" t="s">
        <v>123</v>
      </c>
      <c r="F34" s="19" t="s">
        <v>79</v>
      </c>
      <c r="G34" s="20" t="str">
        <f aca="false">IF($F34="Protetor","1 · Discordo totalmente","5 · Concordo totalmente")</f>
        <v>5 · Concordo totalmente</v>
      </c>
      <c r="H34" s="21" t="str">
        <f aca="false">IF($F34="Protetor","5 · Concordo totalmente","1 · Discordo totalmente")</f>
        <v>1 · Discordo totalmente</v>
      </c>
      <c r="I34" s="22" t="n">
        <f aca="false">IF($F34="Protetor",(('Como ler'!$C$21-'Como ler'!$C$15)/('Como ler'!$C$21-'Como ler'!$C$20)*100),(('Como ler'!$C$15-'Como ler'!$C$20)/('Como ler'!$C$21-'Como ler'!$C$20)*100))</f>
        <v>0</v>
      </c>
      <c r="J34" s="22" t="n">
        <f aca="false">IF($F34="Protetor",(('Como ler'!$C$21-'Como ler'!$C$16)/('Como ler'!$C$21-'Como ler'!$C$20)*100),(('Como ler'!$C$16-'Como ler'!$C$20)/('Como ler'!$C$21-'Como ler'!$C$20)*100))</f>
        <v>25</v>
      </c>
      <c r="K34" s="22" t="n">
        <f aca="false">IF($F34="Protetor",(('Como ler'!$C$21-'Como ler'!$C$17)/('Como ler'!$C$21-'Como ler'!$C$20)*100),(('Como ler'!$C$17-'Como ler'!$C$20)/('Como ler'!$C$21-'Como ler'!$C$20)*100))</f>
        <v>50</v>
      </c>
      <c r="L34" s="22" t="n">
        <f aca="false">IF($F34="Protetor",(('Como ler'!$C$21-'Como ler'!$C$18)/('Como ler'!$C$21-'Como ler'!$C$20)*100),(('Como ler'!$C$18-'Como ler'!$C$20)/('Como ler'!$C$21-'Como ler'!$C$20)*100))</f>
        <v>75</v>
      </c>
      <c r="M34" s="22" t="n">
        <f aca="false">IF($F34="Protetor",(('Como ler'!$C$21-'Como ler'!$C$19)/('Como ler'!$C$21-'Como ler'!$C$20)*100),(('Como ler'!$C$19-'Como ler'!$C$20)/('Como ler'!$C$21-'Como ler'!$C$20)*100))</f>
        <v>100</v>
      </c>
      <c r="N34" s="18"/>
      <c r="O34" s="18"/>
    </row>
    <row r="35" customFormat="false" ht="30" hidden="false" customHeight="true" outlineLevel="0" collapsed="false">
      <c r="A35" s="23" t="s">
        <v>124</v>
      </c>
      <c r="B35" s="24" t="s">
        <v>119</v>
      </c>
      <c r="C35" s="25" t="s">
        <v>120</v>
      </c>
      <c r="D35" s="24" t="n">
        <v>1.1</v>
      </c>
      <c r="E35" s="25" t="s">
        <v>125</v>
      </c>
      <c r="F35" s="26" t="s">
        <v>46</v>
      </c>
      <c r="G35" s="27" t="str">
        <f aca="false">IF($F35="Protetor","1 · Discordo totalmente","5 · Concordo totalmente")</f>
        <v>1 · Discordo totalmente</v>
      </c>
      <c r="H35" s="28" t="str">
        <f aca="false">IF($F35="Protetor","5 · Concordo totalmente","1 · Discordo totalmente")</f>
        <v>5 · Concordo totalmente</v>
      </c>
      <c r="I35" s="29" t="n">
        <f aca="false">IF($F35="Protetor",(('Como ler'!$C$21-'Como ler'!$C$15)/('Como ler'!$C$21-'Como ler'!$C$20)*100),(('Como ler'!$C$15-'Como ler'!$C$20)/('Como ler'!$C$21-'Como ler'!$C$20)*100))</f>
        <v>100</v>
      </c>
      <c r="J35" s="29" t="n">
        <f aca="false">IF($F35="Protetor",(('Como ler'!$C$21-'Como ler'!$C$16)/('Como ler'!$C$21-'Como ler'!$C$20)*100),(('Como ler'!$C$16-'Como ler'!$C$20)/('Como ler'!$C$21-'Como ler'!$C$20)*100))</f>
        <v>75</v>
      </c>
      <c r="K35" s="29" t="n">
        <f aca="false">IF($F35="Protetor",(('Como ler'!$C$21-'Como ler'!$C$17)/('Como ler'!$C$21-'Como ler'!$C$20)*100),(('Como ler'!$C$17-'Como ler'!$C$20)/('Como ler'!$C$21-'Como ler'!$C$20)*100))</f>
        <v>50</v>
      </c>
      <c r="L35" s="29" t="n">
        <f aca="false">IF($F35="Protetor",(('Como ler'!$C$21-'Como ler'!$C$18)/('Como ler'!$C$21-'Como ler'!$C$20)*100),(('Como ler'!$C$18-'Como ler'!$C$20)/('Como ler'!$C$21-'Como ler'!$C$20)*100))</f>
        <v>25</v>
      </c>
      <c r="M35" s="29" t="n">
        <f aca="false">IF($F35="Protetor",(('Como ler'!$C$21-'Como ler'!$C$19)/('Como ler'!$C$21-'Como ler'!$C$20)*100),(('Como ler'!$C$19-'Como ler'!$C$20)/('Como ler'!$C$21-'Como ler'!$C$20)*100))</f>
        <v>0</v>
      </c>
      <c r="N35" s="25"/>
      <c r="O35" s="25"/>
    </row>
    <row r="36" customFormat="false" ht="30" hidden="false" customHeight="true" outlineLevel="0" collapsed="false">
      <c r="A36" s="16" t="s">
        <v>126</v>
      </c>
      <c r="B36" s="17" t="s">
        <v>119</v>
      </c>
      <c r="C36" s="18" t="s">
        <v>120</v>
      </c>
      <c r="D36" s="17" t="n">
        <v>1.1</v>
      </c>
      <c r="E36" s="18" t="s">
        <v>127</v>
      </c>
      <c r="F36" s="19" t="s">
        <v>79</v>
      </c>
      <c r="G36" s="20" t="str">
        <f aca="false">IF($F36="Protetor","1 · Discordo totalmente","5 · Concordo totalmente")</f>
        <v>5 · Concordo totalmente</v>
      </c>
      <c r="H36" s="21" t="str">
        <f aca="false">IF($F36="Protetor","5 · Concordo totalmente","1 · Discordo totalmente")</f>
        <v>1 · Discordo totalmente</v>
      </c>
      <c r="I36" s="22" t="n">
        <f aca="false">IF($F36="Protetor",(('Como ler'!$C$21-'Como ler'!$C$15)/('Como ler'!$C$21-'Como ler'!$C$20)*100),(('Como ler'!$C$15-'Como ler'!$C$20)/('Como ler'!$C$21-'Como ler'!$C$20)*100))</f>
        <v>0</v>
      </c>
      <c r="J36" s="22" t="n">
        <f aca="false">IF($F36="Protetor",(('Como ler'!$C$21-'Como ler'!$C$16)/('Como ler'!$C$21-'Como ler'!$C$20)*100),(('Como ler'!$C$16-'Como ler'!$C$20)/('Como ler'!$C$21-'Como ler'!$C$20)*100))</f>
        <v>25</v>
      </c>
      <c r="K36" s="22" t="n">
        <f aca="false">IF($F36="Protetor",(('Como ler'!$C$21-'Como ler'!$C$17)/('Como ler'!$C$21-'Como ler'!$C$20)*100),(('Como ler'!$C$17-'Como ler'!$C$20)/('Como ler'!$C$21-'Como ler'!$C$20)*100))</f>
        <v>50</v>
      </c>
      <c r="L36" s="22" t="n">
        <f aca="false">IF($F36="Protetor",(('Como ler'!$C$21-'Como ler'!$C$18)/('Como ler'!$C$21-'Como ler'!$C$20)*100),(('Como ler'!$C$18-'Como ler'!$C$20)/('Como ler'!$C$21-'Como ler'!$C$20)*100))</f>
        <v>75</v>
      </c>
      <c r="M36" s="22" t="n">
        <f aca="false">IF($F36="Protetor",(('Como ler'!$C$21-'Como ler'!$C$19)/('Como ler'!$C$21-'Como ler'!$C$20)*100),(('Como ler'!$C$19-'Como ler'!$C$20)/('Como ler'!$C$21-'Como ler'!$C$20)*100))</f>
        <v>100</v>
      </c>
      <c r="N36" s="18"/>
      <c r="O36" s="18"/>
    </row>
    <row r="37" customFormat="false" ht="30" hidden="false" customHeight="true" outlineLevel="0" collapsed="false">
      <c r="A37" s="23" t="s">
        <v>128</v>
      </c>
      <c r="B37" s="24" t="s">
        <v>119</v>
      </c>
      <c r="C37" s="25" t="s">
        <v>120</v>
      </c>
      <c r="D37" s="24" t="n">
        <v>1.1</v>
      </c>
      <c r="E37" s="25" t="s">
        <v>129</v>
      </c>
      <c r="F37" s="26" t="s">
        <v>46</v>
      </c>
      <c r="G37" s="27" t="str">
        <f aca="false">IF($F37="Protetor","1 · Discordo totalmente","5 · Concordo totalmente")</f>
        <v>1 · Discordo totalmente</v>
      </c>
      <c r="H37" s="28" t="str">
        <f aca="false">IF($F37="Protetor","5 · Concordo totalmente","1 · Discordo totalmente")</f>
        <v>5 · Concordo totalmente</v>
      </c>
      <c r="I37" s="29" t="n">
        <f aca="false">IF($F37="Protetor",(('Como ler'!$C$21-'Como ler'!$C$15)/('Como ler'!$C$21-'Como ler'!$C$20)*100),(('Como ler'!$C$15-'Como ler'!$C$20)/('Como ler'!$C$21-'Como ler'!$C$20)*100))</f>
        <v>100</v>
      </c>
      <c r="J37" s="29" t="n">
        <f aca="false">IF($F37="Protetor",(('Como ler'!$C$21-'Como ler'!$C$16)/('Como ler'!$C$21-'Como ler'!$C$20)*100),(('Como ler'!$C$16-'Como ler'!$C$20)/('Como ler'!$C$21-'Como ler'!$C$20)*100))</f>
        <v>75</v>
      </c>
      <c r="K37" s="29" t="n">
        <f aca="false">IF($F37="Protetor",(('Como ler'!$C$21-'Como ler'!$C$17)/('Como ler'!$C$21-'Como ler'!$C$20)*100),(('Como ler'!$C$17-'Como ler'!$C$20)/('Como ler'!$C$21-'Como ler'!$C$20)*100))</f>
        <v>50</v>
      </c>
      <c r="L37" s="29" t="n">
        <f aca="false">IF($F37="Protetor",(('Como ler'!$C$21-'Como ler'!$C$18)/('Como ler'!$C$21-'Como ler'!$C$20)*100),(('Como ler'!$C$18-'Como ler'!$C$20)/('Como ler'!$C$21-'Como ler'!$C$20)*100))</f>
        <v>25</v>
      </c>
      <c r="M37" s="29" t="n">
        <f aca="false">IF($F37="Protetor",(('Como ler'!$C$21-'Como ler'!$C$19)/('Como ler'!$C$21-'Como ler'!$C$20)*100),(('Como ler'!$C$19-'Como ler'!$C$20)/('Como ler'!$C$21-'Como ler'!$C$20)*100))</f>
        <v>0</v>
      </c>
      <c r="N37" s="25"/>
      <c r="O37" s="25"/>
    </row>
    <row r="38" customFormat="false" ht="30" hidden="false" customHeight="true" outlineLevel="0" collapsed="false">
      <c r="A38" s="16" t="s">
        <v>130</v>
      </c>
      <c r="B38" s="17" t="s">
        <v>119</v>
      </c>
      <c r="C38" s="18" t="s">
        <v>120</v>
      </c>
      <c r="D38" s="17" t="n">
        <v>1.1</v>
      </c>
      <c r="E38" s="18" t="s">
        <v>131</v>
      </c>
      <c r="F38" s="19" t="s">
        <v>79</v>
      </c>
      <c r="G38" s="20" t="str">
        <f aca="false">IF($F38="Protetor","1 · Discordo totalmente","5 · Concordo totalmente")</f>
        <v>5 · Concordo totalmente</v>
      </c>
      <c r="H38" s="21" t="str">
        <f aca="false">IF($F38="Protetor","5 · Concordo totalmente","1 · Discordo totalmente")</f>
        <v>1 · Discordo totalmente</v>
      </c>
      <c r="I38" s="22" t="n">
        <f aca="false">IF($F38="Protetor",(('Como ler'!$C$21-'Como ler'!$C$15)/('Como ler'!$C$21-'Como ler'!$C$20)*100),(('Como ler'!$C$15-'Como ler'!$C$20)/('Como ler'!$C$21-'Como ler'!$C$20)*100))</f>
        <v>0</v>
      </c>
      <c r="J38" s="22" t="n">
        <f aca="false">IF($F38="Protetor",(('Como ler'!$C$21-'Como ler'!$C$16)/('Como ler'!$C$21-'Como ler'!$C$20)*100),(('Como ler'!$C$16-'Como ler'!$C$20)/('Como ler'!$C$21-'Como ler'!$C$20)*100))</f>
        <v>25</v>
      </c>
      <c r="K38" s="22" t="n">
        <f aca="false">IF($F38="Protetor",(('Como ler'!$C$21-'Como ler'!$C$17)/('Como ler'!$C$21-'Como ler'!$C$20)*100),(('Como ler'!$C$17-'Como ler'!$C$20)/('Como ler'!$C$21-'Como ler'!$C$20)*100))</f>
        <v>50</v>
      </c>
      <c r="L38" s="22" t="n">
        <f aca="false">IF($F38="Protetor",(('Como ler'!$C$21-'Como ler'!$C$18)/('Como ler'!$C$21-'Como ler'!$C$20)*100),(('Como ler'!$C$18-'Como ler'!$C$20)/('Como ler'!$C$21-'Como ler'!$C$20)*100))</f>
        <v>75</v>
      </c>
      <c r="M38" s="22" t="n">
        <f aca="false">IF($F38="Protetor",(('Como ler'!$C$21-'Como ler'!$C$19)/('Como ler'!$C$21-'Como ler'!$C$20)*100),(('Como ler'!$C$19-'Como ler'!$C$20)/('Como ler'!$C$21-'Como ler'!$C$20)*100))</f>
        <v>100</v>
      </c>
      <c r="N38" s="18"/>
      <c r="O38" s="18"/>
    </row>
    <row r="39" customFormat="false" ht="30" hidden="false" customHeight="true" outlineLevel="0" collapsed="false">
      <c r="A39" s="23" t="s">
        <v>132</v>
      </c>
      <c r="B39" s="24" t="s">
        <v>119</v>
      </c>
      <c r="C39" s="25" t="s">
        <v>120</v>
      </c>
      <c r="D39" s="24" t="n">
        <v>1.1</v>
      </c>
      <c r="E39" s="25" t="s">
        <v>133</v>
      </c>
      <c r="F39" s="26" t="s">
        <v>46</v>
      </c>
      <c r="G39" s="27" t="str">
        <f aca="false">IF($F39="Protetor","1 · Discordo totalmente","5 · Concordo totalmente")</f>
        <v>1 · Discordo totalmente</v>
      </c>
      <c r="H39" s="28" t="str">
        <f aca="false">IF($F39="Protetor","5 · Concordo totalmente","1 · Discordo totalmente")</f>
        <v>5 · Concordo totalmente</v>
      </c>
      <c r="I39" s="29" t="n">
        <f aca="false">IF($F39="Protetor",(('Como ler'!$C$21-'Como ler'!$C$15)/('Como ler'!$C$21-'Como ler'!$C$20)*100),(('Como ler'!$C$15-'Como ler'!$C$20)/('Como ler'!$C$21-'Como ler'!$C$20)*100))</f>
        <v>100</v>
      </c>
      <c r="J39" s="29" t="n">
        <f aca="false">IF($F39="Protetor",(('Como ler'!$C$21-'Como ler'!$C$16)/('Como ler'!$C$21-'Como ler'!$C$20)*100),(('Como ler'!$C$16-'Como ler'!$C$20)/('Como ler'!$C$21-'Como ler'!$C$20)*100))</f>
        <v>75</v>
      </c>
      <c r="K39" s="29" t="n">
        <f aca="false">IF($F39="Protetor",(('Como ler'!$C$21-'Como ler'!$C$17)/('Como ler'!$C$21-'Como ler'!$C$20)*100),(('Como ler'!$C$17-'Como ler'!$C$20)/('Como ler'!$C$21-'Como ler'!$C$20)*100))</f>
        <v>50</v>
      </c>
      <c r="L39" s="29" t="n">
        <f aca="false">IF($F39="Protetor",(('Como ler'!$C$21-'Como ler'!$C$18)/('Como ler'!$C$21-'Como ler'!$C$20)*100),(('Como ler'!$C$18-'Como ler'!$C$20)/('Como ler'!$C$21-'Como ler'!$C$20)*100))</f>
        <v>25</v>
      </c>
      <c r="M39" s="29" t="n">
        <f aca="false">IF($F39="Protetor",(('Como ler'!$C$21-'Como ler'!$C$19)/('Como ler'!$C$21-'Como ler'!$C$20)*100),(('Como ler'!$C$19-'Como ler'!$C$20)/('Como ler'!$C$21-'Como ler'!$C$20)*100))</f>
        <v>0</v>
      </c>
      <c r="N39" s="25"/>
      <c r="O39" s="25"/>
    </row>
    <row r="40" customFormat="false" ht="30" hidden="false" customHeight="true" outlineLevel="0" collapsed="false">
      <c r="A40" s="16" t="s">
        <v>134</v>
      </c>
      <c r="B40" s="17" t="s">
        <v>119</v>
      </c>
      <c r="C40" s="18" t="s">
        <v>120</v>
      </c>
      <c r="D40" s="17" t="n">
        <v>1.1</v>
      </c>
      <c r="E40" s="18" t="s">
        <v>135</v>
      </c>
      <c r="F40" s="19" t="s">
        <v>46</v>
      </c>
      <c r="G40" s="20" t="str">
        <f aca="false">IF($F40="Protetor","1 · Discordo totalmente","5 · Concordo totalmente")</f>
        <v>1 · Discordo totalmente</v>
      </c>
      <c r="H40" s="21" t="str">
        <f aca="false">IF($F40="Protetor","5 · Concordo totalmente","1 · Discordo totalmente")</f>
        <v>5 · Concordo totalmente</v>
      </c>
      <c r="I40" s="22" t="n">
        <f aca="false">IF($F40="Protetor",(('Como ler'!$C$21-'Como ler'!$C$15)/('Como ler'!$C$21-'Como ler'!$C$20)*100),(('Como ler'!$C$15-'Como ler'!$C$20)/('Como ler'!$C$21-'Como ler'!$C$20)*100))</f>
        <v>100</v>
      </c>
      <c r="J40" s="22" t="n">
        <f aca="false">IF($F40="Protetor",(('Como ler'!$C$21-'Como ler'!$C$16)/('Como ler'!$C$21-'Como ler'!$C$20)*100),(('Como ler'!$C$16-'Como ler'!$C$20)/('Como ler'!$C$21-'Como ler'!$C$20)*100))</f>
        <v>75</v>
      </c>
      <c r="K40" s="22" t="n">
        <f aca="false">IF($F40="Protetor",(('Como ler'!$C$21-'Como ler'!$C$17)/('Como ler'!$C$21-'Como ler'!$C$20)*100),(('Como ler'!$C$17-'Como ler'!$C$20)/('Como ler'!$C$21-'Como ler'!$C$20)*100))</f>
        <v>50</v>
      </c>
      <c r="L40" s="22" t="n">
        <f aca="false">IF($F40="Protetor",(('Como ler'!$C$21-'Como ler'!$C$18)/('Como ler'!$C$21-'Como ler'!$C$20)*100),(('Como ler'!$C$18-'Como ler'!$C$20)/('Como ler'!$C$21-'Como ler'!$C$20)*100))</f>
        <v>25</v>
      </c>
      <c r="M40" s="22" t="n">
        <f aca="false">IF($F40="Protetor",(('Como ler'!$C$21-'Como ler'!$C$19)/('Como ler'!$C$21-'Como ler'!$C$20)*100),(('Como ler'!$C$19-'Como ler'!$C$20)/('Como ler'!$C$21-'Como ler'!$C$20)*100))</f>
        <v>0</v>
      </c>
      <c r="N40" s="18"/>
      <c r="O40" s="18"/>
    </row>
    <row r="41" customFormat="false" ht="30" hidden="false" customHeight="true" outlineLevel="0" collapsed="false">
      <c r="A41" s="23" t="s">
        <v>136</v>
      </c>
      <c r="B41" s="24" t="s">
        <v>119</v>
      </c>
      <c r="C41" s="25" t="s">
        <v>120</v>
      </c>
      <c r="D41" s="24" t="n">
        <v>1.1</v>
      </c>
      <c r="E41" s="25" t="s">
        <v>137</v>
      </c>
      <c r="F41" s="26" t="s">
        <v>46</v>
      </c>
      <c r="G41" s="27" t="str">
        <f aca="false">IF($F41="Protetor","1 · Discordo totalmente","5 · Concordo totalmente")</f>
        <v>1 · Discordo totalmente</v>
      </c>
      <c r="H41" s="28" t="str">
        <f aca="false">IF($F41="Protetor","5 · Concordo totalmente","1 · Discordo totalmente")</f>
        <v>5 · Concordo totalmente</v>
      </c>
      <c r="I41" s="29" t="n">
        <f aca="false">IF($F41="Protetor",(('Como ler'!$C$21-'Como ler'!$C$15)/('Como ler'!$C$21-'Como ler'!$C$20)*100),(('Como ler'!$C$15-'Como ler'!$C$20)/('Como ler'!$C$21-'Como ler'!$C$20)*100))</f>
        <v>100</v>
      </c>
      <c r="J41" s="29" t="n">
        <f aca="false">IF($F41="Protetor",(('Como ler'!$C$21-'Como ler'!$C$16)/('Como ler'!$C$21-'Como ler'!$C$20)*100),(('Como ler'!$C$16-'Como ler'!$C$20)/('Como ler'!$C$21-'Como ler'!$C$20)*100))</f>
        <v>75</v>
      </c>
      <c r="K41" s="29" t="n">
        <f aca="false">IF($F41="Protetor",(('Como ler'!$C$21-'Como ler'!$C$17)/('Como ler'!$C$21-'Como ler'!$C$20)*100),(('Como ler'!$C$17-'Como ler'!$C$20)/('Como ler'!$C$21-'Como ler'!$C$20)*100))</f>
        <v>50</v>
      </c>
      <c r="L41" s="29" t="n">
        <f aca="false">IF($F41="Protetor",(('Como ler'!$C$21-'Como ler'!$C$18)/('Como ler'!$C$21-'Como ler'!$C$20)*100),(('Como ler'!$C$18-'Como ler'!$C$20)/('Como ler'!$C$21-'Como ler'!$C$20)*100))</f>
        <v>25</v>
      </c>
      <c r="M41" s="29" t="n">
        <f aca="false">IF($F41="Protetor",(('Como ler'!$C$21-'Como ler'!$C$19)/('Como ler'!$C$21-'Como ler'!$C$20)*100),(('Como ler'!$C$19-'Como ler'!$C$20)/('Como ler'!$C$21-'Como ler'!$C$20)*100))</f>
        <v>0</v>
      </c>
      <c r="N41" s="25"/>
      <c r="O41" s="25"/>
    </row>
    <row r="42" customFormat="false" ht="30" hidden="false" customHeight="true" outlineLevel="0" collapsed="false">
      <c r="A42" s="16" t="s">
        <v>138</v>
      </c>
      <c r="B42" s="17" t="s">
        <v>139</v>
      </c>
      <c r="C42" s="18" t="s">
        <v>140</v>
      </c>
      <c r="D42" s="17" t="n">
        <v>1.3</v>
      </c>
      <c r="E42" s="18" t="s">
        <v>141</v>
      </c>
      <c r="F42" s="19" t="s">
        <v>79</v>
      </c>
      <c r="G42" s="20" t="str">
        <f aca="false">IF($F42="Protetor","1 · Discordo totalmente","5 · Concordo totalmente")</f>
        <v>5 · Concordo totalmente</v>
      </c>
      <c r="H42" s="21" t="str">
        <f aca="false">IF($F42="Protetor","5 · Concordo totalmente","1 · Discordo totalmente")</f>
        <v>1 · Discordo totalmente</v>
      </c>
      <c r="I42" s="22" t="n">
        <f aca="false">IF($F42="Protetor",(('Como ler'!$C$21-'Como ler'!$C$15)/('Como ler'!$C$21-'Como ler'!$C$20)*100),(('Como ler'!$C$15-'Como ler'!$C$20)/('Como ler'!$C$21-'Como ler'!$C$20)*100))</f>
        <v>0</v>
      </c>
      <c r="J42" s="22" t="n">
        <f aca="false">IF($F42="Protetor",(('Como ler'!$C$21-'Como ler'!$C$16)/('Como ler'!$C$21-'Como ler'!$C$20)*100),(('Como ler'!$C$16-'Como ler'!$C$20)/('Como ler'!$C$21-'Como ler'!$C$20)*100))</f>
        <v>25</v>
      </c>
      <c r="K42" s="22" t="n">
        <f aca="false">IF($F42="Protetor",(('Como ler'!$C$21-'Como ler'!$C$17)/('Como ler'!$C$21-'Como ler'!$C$20)*100),(('Como ler'!$C$17-'Como ler'!$C$20)/('Como ler'!$C$21-'Como ler'!$C$20)*100))</f>
        <v>50</v>
      </c>
      <c r="L42" s="22" t="n">
        <f aca="false">IF($F42="Protetor",(('Como ler'!$C$21-'Como ler'!$C$18)/('Como ler'!$C$21-'Como ler'!$C$20)*100),(('Como ler'!$C$18-'Como ler'!$C$20)/('Como ler'!$C$21-'Como ler'!$C$20)*100))</f>
        <v>75</v>
      </c>
      <c r="M42" s="22" t="n">
        <f aca="false">IF($F42="Protetor",(('Como ler'!$C$21-'Como ler'!$C$19)/('Como ler'!$C$21-'Como ler'!$C$20)*100),(('Como ler'!$C$19-'Como ler'!$C$20)/('Como ler'!$C$21-'Como ler'!$C$20)*100))</f>
        <v>100</v>
      </c>
      <c r="N42" s="18"/>
      <c r="O42" s="18"/>
    </row>
    <row r="43" customFormat="false" ht="30" hidden="false" customHeight="true" outlineLevel="0" collapsed="false">
      <c r="A43" s="23" t="s">
        <v>142</v>
      </c>
      <c r="B43" s="24" t="s">
        <v>139</v>
      </c>
      <c r="C43" s="25" t="s">
        <v>140</v>
      </c>
      <c r="D43" s="24" t="n">
        <v>1.3</v>
      </c>
      <c r="E43" s="25" t="s">
        <v>143</v>
      </c>
      <c r="F43" s="26" t="s">
        <v>79</v>
      </c>
      <c r="G43" s="27" t="str">
        <f aca="false">IF($F43="Protetor","1 · Discordo totalmente","5 · Concordo totalmente")</f>
        <v>5 · Concordo totalmente</v>
      </c>
      <c r="H43" s="28" t="str">
        <f aca="false">IF($F43="Protetor","5 · Concordo totalmente","1 · Discordo totalmente")</f>
        <v>1 · Discordo totalmente</v>
      </c>
      <c r="I43" s="29" t="n">
        <f aca="false">IF($F43="Protetor",(('Como ler'!$C$21-'Como ler'!$C$15)/('Como ler'!$C$21-'Como ler'!$C$20)*100),(('Como ler'!$C$15-'Como ler'!$C$20)/('Como ler'!$C$21-'Como ler'!$C$20)*100))</f>
        <v>0</v>
      </c>
      <c r="J43" s="29" t="n">
        <f aca="false">IF($F43="Protetor",(('Como ler'!$C$21-'Como ler'!$C$16)/('Como ler'!$C$21-'Como ler'!$C$20)*100),(('Como ler'!$C$16-'Como ler'!$C$20)/('Como ler'!$C$21-'Como ler'!$C$20)*100))</f>
        <v>25</v>
      </c>
      <c r="K43" s="29" t="n">
        <f aca="false">IF($F43="Protetor",(('Como ler'!$C$21-'Como ler'!$C$17)/('Como ler'!$C$21-'Como ler'!$C$20)*100),(('Como ler'!$C$17-'Como ler'!$C$20)/('Como ler'!$C$21-'Como ler'!$C$20)*100))</f>
        <v>50</v>
      </c>
      <c r="L43" s="29" t="n">
        <f aca="false">IF($F43="Protetor",(('Como ler'!$C$21-'Como ler'!$C$18)/('Como ler'!$C$21-'Como ler'!$C$20)*100),(('Como ler'!$C$18-'Como ler'!$C$20)/('Como ler'!$C$21-'Como ler'!$C$20)*100))</f>
        <v>75</v>
      </c>
      <c r="M43" s="29" t="n">
        <f aca="false">IF($F43="Protetor",(('Como ler'!$C$21-'Como ler'!$C$19)/('Como ler'!$C$21-'Como ler'!$C$20)*100),(('Como ler'!$C$19-'Como ler'!$C$20)/('Como ler'!$C$21-'Como ler'!$C$20)*100))</f>
        <v>100</v>
      </c>
      <c r="N43" s="25"/>
      <c r="O43" s="25"/>
    </row>
    <row r="44" customFormat="false" ht="30" hidden="false" customHeight="true" outlineLevel="0" collapsed="false">
      <c r="A44" s="16" t="s">
        <v>144</v>
      </c>
      <c r="B44" s="17" t="s">
        <v>139</v>
      </c>
      <c r="C44" s="18" t="s">
        <v>140</v>
      </c>
      <c r="D44" s="17" t="n">
        <v>1.3</v>
      </c>
      <c r="E44" s="18" t="s">
        <v>145</v>
      </c>
      <c r="F44" s="19" t="s">
        <v>79</v>
      </c>
      <c r="G44" s="20" t="str">
        <f aca="false">IF($F44="Protetor","1 · Discordo totalmente","5 · Concordo totalmente")</f>
        <v>5 · Concordo totalmente</v>
      </c>
      <c r="H44" s="21" t="str">
        <f aca="false">IF($F44="Protetor","5 · Concordo totalmente","1 · Discordo totalmente")</f>
        <v>1 · Discordo totalmente</v>
      </c>
      <c r="I44" s="22" t="n">
        <f aca="false">IF($F44="Protetor",(('Como ler'!$C$21-'Como ler'!$C$15)/('Como ler'!$C$21-'Como ler'!$C$20)*100),(('Como ler'!$C$15-'Como ler'!$C$20)/('Como ler'!$C$21-'Como ler'!$C$20)*100))</f>
        <v>0</v>
      </c>
      <c r="J44" s="22" t="n">
        <f aca="false">IF($F44="Protetor",(('Como ler'!$C$21-'Como ler'!$C$16)/('Como ler'!$C$21-'Como ler'!$C$20)*100),(('Como ler'!$C$16-'Como ler'!$C$20)/('Como ler'!$C$21-'Como ler'!$C$20)*100))</f>
        <v>25</v>
      </c>
      <c r="K44" s="22" t="n">
        <f aca="false">IF($F44="Protetor",(('Como ler'!$C$21-'Como ler'!$C$17)/('Como ler'!$C$21-'Como ler'!$C$20)*100),(('Como ler'!$C$17-'Como ler'!$C$20)/('Como ler'!$C$21-'Como ler'!$C$20)*100))</f>
        <v>50</v>
      </c>
      <c r="L44" s="22" t="n">
        <f aca="false">IF($F44="Protetor",(('Como ler'!$C$21-'Como ler'!$C$18)/('Como ler'!$C$21-'Como ler'!$C$20)*100),(('Como ler'!$C$18-'Como ler'!$C$20)/('Como ler'!$C$21-'Como ler'!$C$20)*100))</f>
        <v>75</v>
      </c>
      <c r="M44" s="22" t="n">
        <f aca="false">IF($F44="Protetor",(('Como ler'!$C$21-'Como ler'!$C$19)/('Como ler'!$C$21-'Como ler'!$C$20)*100),(('Como ler'!$C$19-'Como ler'!$C$20)/('Como ler'!$C$21-'Como ler'!$C$20)*100))</f>
        <v>100</v>
      </c>
      <c r="N44" s="18"/>
      <c r="O44" s="18"/>
    </row>
    <row r="45" customFormat="false" ht="30" hidden="false" customHeight="true" outlineLevel="0" collapsed="false">
      <c r="A45" s="23" t="s">
        <v>146</v>
      </c>
      <c r="B45" s="24" t="s">
        <v>139</v>
      </c>
      <c r="C45" s="25" t="s">
        <v>140</v>
      </c>
      <c r="D45" s="24" t="n">
        <v>1.3</v>
      </c>
      <c r="E45" s="25" t="s">
        <v>147</v>
      </c>
      <c r="F45" s="26" t="s">
        <v>79</v>
      </c>
      <c r="G45" s="27" t="str">
        <f aca="false">IF($F45="Protetor","1 · Discordo totalmente","5 · Concordo totalmente")</f>
        <v>5 · Concordo totalmente</v>
      </c>
      <c r="H45" s="28" t="str">
        <f aca="false">IF($F45="Protetor","5 · Concordo totalmente","1 · Discordo totalmente")</f>
        <v>1 · Discordo totalmente</v>
      </c>
      <c r="I45" s="29" t="n">
        <f aca="false">IF($F45="Protetor",(('Como ler'!$C$21-'Como ler'!$C$15)/('Como ler'!$C$21-'Como ler'!$C$20)*100),(('Como ler'!$C$15-'Como ler'!$C$20)/('Como ler'!$C$21-'Como ler'!$C$20)*100))</f>
        <v>0</v>
      </c>
      <c r="J45" s="29" t="n">
        <f aca="false">IF($F45="Protetor",(('Como ler'!$C$21-'Como ler'!$C$16)/('Como ler'!$C$21-'Como ler'!$C$20)*100),(('Como ler'!$C$16-'Como ler'!$C$20)/('Como ler'!$C$21-'Como ler'!$C$20)*100))</f>
        <v>25</v>
      </c>
      <c r="K45" s="29" t="n">
        <f aca="false">IF($F45="Protetor",(('Como ler'!$C$21-'Como ler'!$C$17)/('Como ler'!$C$21-'Como ler'!$C$20)*100),(('Como ler'!$C$17-'Como ler'!$C$20)/('Como ler'!$C$21-'Como ler'!$C$20)*100))</f>
        <v>50</v>
      </c>
      <c r="L45" s="29" t="n">
        <f aca="false">IF($F45="Protetor",(('Como ler'!$C$21-'Como ler'!$C$18)/('Como ler'!$C$21-'Como ler'!$C$20)*100),(('Como ler'!$C$18-'Como ler'!$C$20)/('Como ler'!$C$21-'Como ler'!$C$20)*100))</f>
        <v>75</v>
      </c>
      <c r="M45" s="29" t="n">
        <f aca="false">IF($F45="Protetor",(('Como ler'!$C$21-'Como ler'!$C$19)/('Como ler'!$C$21-'Como ler'!$C$20)*100),(('Como ler'!$C$19-'Como ler'!$C$20)/('Como ler'!$C$21-'Como ler'!$C$20)*100))</f>
        <v>100</v>
      </c>
      <c r="N45" s="25"/>
      <c r="O45" s="25"/>
    </row>
    <row r="46" customFormat="false" ht="30" hidden="false" customHeight="true" outlineLevel="0" collapsed="false">
      <c r="A46" s="16" t="s">
        <v>148</v>
      </c>
      <c r="B46" s="17" t="s">
        <v>139</v>
      </c>
      <c r="C46" s="18" t="s">
        <v>140</v>
      </c>
      <c r="D46" s="17" t="n">
        <v>1.3</v>
      </c>
      <c r="E46" s="18" t="s">
        <v>149</v>
      </c>
      <c r="F46" s="19" t="s">
        <v>79</v>
      </c>
      <c r="G46" s="20" t="str">
        <f aca="false">IF($F46="Protetor","1 · Discordo totalmente","5 · Concordo totalmente")</f>
        <v>5 · Concordo totalmente</v>
      </c>
      <c r="H46" s="21" t="str">
        <f aca="false">IF($F46="Protetor","5 · Concordo totalmente","1 · Discordo totalmente")</f>
        <v>1 · Discordo totalmente</v>
      </c>
      <c r="I46" s="22" t="n">
        <f aca="false">IF($F46="Protetor",(('Como ler'!$C$21-'Como ler'!$C$15)/('Como ler'!$C$21-'Como ler'!$C$20)*100),(('Como ler'!$C$15-'Como ler'!$C$20)/('Como ler'!$C$21-'Como ler'!$C$20)*100))</f>
        <v>0</v>
      </c>
      <c r="J46" s="22" t="n">
        <f aca="false">IF($F46="Protetor",(('Como ler'!$C$21-'Como ler'!$C$16)/('Como ler'!$C$21-'Como ler'!$C$20)*100),(('Como ler'!$C$16-'Como ler'!$C$20)/('Como ler'!$C$21-'Como ler'!$C$20)*100))</f>
        <v>25</v>
      </c>
      <c r="K46" s="22" t="n">
        <f aca="false">IF($F46="Protetor",(('Como ler'!$C$21-'Como ler'!$C$17)/('Como ler'!$C$21-'Como ler'!$C$20)*100),(('Como ler'!$C$17-'Como ler'!$C$20)/('Como ler'!$C$21-'Como ler'!$C$20)*100))</f>
        <v>50</v>
      </c>
      <c r="L46" s="22" t="n">
        <f aca="false">IF($F46="Protetor",(('Como ler'!$C$21-'Como ler'!$C$18)/('Como ler'!$C$21-'Como ler'!$C$20)*100),(('Como ler'!$C$18-'Como ler'!$C$20)/('Como ler'!$C$21-'Como ler'!$C$20)*100))</f>
        <v>75</v>
      </c>
      <c r="M46" s="22" t="n">
        <f aca="false">IF($F46="Protetor",(('Como ler'!$C$21-'Como ler'!$C$19)/('Como ler'!$C$21-'Como ler'!$C$20)*100),(('Como ler'!$C$19-'Como ler'!$C$20)/('Como ler'!$C$21-'Como ler'!$C$20)*100))</f>
        <v>100</v>
      </c>
      <c r="N46" s="18"/>
      <c r="O46" s="18"/>
    </row>
    <row r="47" customFormat="false" ht="30" hidden="false" customHeight="true" outlineLevel="0" collapsed="false">
      <c r="A47" s="23" t="s">
        <v>150</v>
      </c>
      <c r="B47" s="24" t="s">
        <v>139</v>
      </c>
      <c r="C47" s="25" t="s">
        <v>140</v>
      </c>
      <c r="D47" s="24" t="n">
        <v>1.3</v>
      </c>
      <c r="E47" s="25" t="s">
        <v>151</v>
      </c>
      <c r="F47" s="26" t="s">
        <v>79</v>
      </c>
      <c r="G47" s="27" t="str">
        <f aca="false">IF($F47="Protetor","1 · Discordo totalmente","5 · Concordo totalmente")</f>
        <v>5 · Concordo totalmente</v>
      </c>
      <c r="H47" s="28" t="str">
        <f aca="false">IF($F47="Protetor","5 · Concordo totalmente","1 · Discordo totalmente")</f>
        <v>1 · Discordo totalmente</v>
      </c>
      <c r="I47" s="29" t="n">
        <f aca="false">IF($F47="Protetor",(('Como ler'!$C$21-'Como ler'!$C$15)/('Como ler'!$C$21-'Como ler'!$C$20)*100),(('Como ler'!$C$15-'Como ler'!$C$20)/('Como ler'!$C$21-'Como ler'!$C$20)*100))</f>
        <v>0</v>
      </c>
      <c r="J47" s="29" t="n">
        <f aca="false">IF($F47="Protetor",(('Como ler'!$C$21-'Como ler'!$C$16)/('Como ler'!$C$21-'Como ler'!$C$20)*100),(('Como ler'!$C$16-'Como ler'!$C$20)/('Como ler'!$C$21-'Como ler'!$C$20)*100))</f>
        <v>25</v>
      </c>
      <c r="K47" s="29" t="n">
        <f aca="false">IF($F47="Protetor",(('Como ler'!$C$21-'Como ler'!$C$17)/('Como ler'!$C$21-'Como ler'!$C$20)*100),(('Como ler'!$C$17-'Como ler'!$C$20)/('Como ler'!$C$21-'Como ler'!$C$20)*100))</f>
        <v>50</v>
      </c>
      <c r="L47" s="29" t="n">
        <f aca="false">IF($F47="Protetor",(('Como ler'!$C$21-'Como ler'!$C$18)/('Como ler'!$C$21-'Como ler'!$C$20)*100),(('Como ler'!$C$18-'Como ler'!$C$20)/('Como ler'!$C$21-'Como ler'!$C$20)*100))</f>
        <v>75</v>
      </c>
      <c r="M47" s="29" t="n">
        <f aca="false">IF($F47="Protetor",(('Como ler'!$C$21-'Como ler'!$C$19)/('Como ler'!$C$21-'Como ler'!$C$20)*100),(('Como ler'!$C$19-'Como ler'!$C$20)/('Como ler'!$C$21-'Como ler'!$C$20)*100))</f>
        <v>100</v>
      </c>
      <c r="N47" s="25"/>
      <c r="O47" s="25"/>
    </row>
    <row r="48" customFormat="false" ht="30" hidden="false" customHeight="true" outlineLevel="0" collapsed="false">
      <c r="A48" s="16" t="s">
        <v>152</v>
      </c>
      <c r="B48" s="17" t="s">
        <v>139</v>
      </c>
      <c r="C48" s="18" t="s">
        <v>140</v>
      </c>
      <c r="D48" s="17" t="n">
        <v>1.3</v>
      </c>
      <c r="E48" s="18" t="s">
        <v>153</v>
      </c>
      <c r="F48" s="19" t="s">
        <v>79</v>
      </c>
      <c r="G48" s="20" t="str">
        <f aca="false">IF($F48="Protetor","1 · Discordo totalmente","5 · Concordo totalmente")</f>
        <v>5 · Concordo totalmente</v>
      </c>
      <c r="H48" s="21" t="str">
        <f aca="false">IF($F48="Protetor","5 · Concordo totalmente","1 · Discordo totalmente")</f>
        <v>1 · Discordo totalmente</v>
      </c>
      <c r="I48" s="22" t="n">
        <f aca="false">IF($F48="Protetor",(('Como ler'!$C$21-'Como ler'!$C$15)/('Como ler'!$C$21-'Como ler'!$C$20)*100),(('Como ler'!$C$15-'Como ler'!$C$20)/('Como ler'!$C$21-'Como ler'!$C$20)*100))</f>
        <v>0</v>
      </c>
      <c r="J48" s="22" t="n">
        <f aca="false">IF($F48="Protetor",(('Como ler'!$C$21-'Como ler'!$C$16)/('Como ler'!$C$21-'Como ler'!$C$20)*100),(('Como ler'!$C$16-'Como ler'!$C$20)/('Como ler'!$C$21-'Como ler'!$C$20)*100))</f>
        <v>25</v>
      </c>
      <c r="K48" s="22" t="n">
        <f aca="false">IF($F48="Protetor",(('Como ler'!$C$21-'Como ler'!$C$17)/('Como ler'!$C$21-'Como ler'!$C$20)*100),(('Como ler'!$C$17-'Como ler'!$C$20)/('Como ler'!$C$21-'Como ler'!$C$20)*100))</f>
        <v>50</v>
      </c>
      <c r="L48" s="22" t="n">
        <f aca="false">IF($F48="Protetor",(('Como ler'!$C$21-'Como ler'!$C$18)/('Como ler'!$C$21-'Como ler'!$C$20)*100),(('Como ler'!$C$18-'Como ler'!$C$20)/('Como ler'!$C$21-'Como ler'!$C$20)*100))</f>
        <v>75</v>
      </c>
      <c r="M48" s="22" t="n">
        <f aca="false">IF($F48="Protetor",(('Como ler'!$C$21-'Como ler'!$C$19)/('Como ler'!$C$21-'Como ler'!$C$20)*100),(('Como ler'!$C$19-'Como ler'!$C$20)/('Como ler'!$C$21-'Como ler'!$C$20)*100))</f>
        <v>100</v>
      </c>
      <c r="N48" s="18"/>
      <c r="O48" s="18"/>
    </row>
    <row r="49" customFormat="false" ht="30" hidden="false" customHeight="true" outlineLevel="0" collapsed="false">
      <c r="A49" s="23" t="s">
        <v>154</v>
      </c>
      <c r="B49" s="24" t="s">
        <v>139</v>
      </c>
      <c r="C49" s="25" t="s">
        <v>140</v>
      </c>
      <c r="D49" s="24" t="n">
        <v>1.3</v>
      </c>
      <c r="E49" s="25" t="s">
        <v>155</v>
      </c>
      <c r="F49" s="26" t="s">
        <v>79</v>
      </c>
      <c r="G49" s="27" t="str">
        <f aca="false">IF($F49="Protetor","1 · Discordo totalmente","5 · Concordo totalmente")</f>
        <v>5 · Concordo totalmente</v>
      </c>
      <c r="H49" s="28" t="str">
        <f aca="false">IF($F49="Protetor","5 · Concordo totalmente","1 · Discordo totalmente")</f>
        <v>1 · Discordo totalmente</v>
      </c>
      <c r="I49" s="29" t="n">
        <f aca="false">IF($F49="Protetor",(('Como ler'!$C$21-'Como ler'!$C$15)/('Como ler'!$C$21-'Como ler'!$C$20)*100),(('Como ler'!$C$15-'Como ler'!$C$20)/('Como ler'!$C$21-'Como ler'!$C$20)*100))</f>
        <v>0</v>
      </c>
      <c r="J49" s="29" t="n">
        <f aca="false">IF($F49="Protetor",(('Como ler'!$C$21-'Como ler'!$C$16)/('Como ler'!$C$21-'Como ler'!$C$20)*100),(('Como ler'!$C$16-'Como ler'!$C$20)/('Como ler'!$C$21-'Como ler'!$C$20)*100))</f>
        <v>25</v>
      </c>
      <c r="K49" s="29" t="n">
        <f aca="false">IF($F49="Protetor",(('Como ler'!$C$21-'Como ler'!$C$17)/('Como ler'!$C$21-'Como ler'!$C$20)*100),(('Como ler'!$C$17-'Como ler'!$C$20)/('Como ler'!$C$21-'Como ler'!$C$20)*100))</f>
        <v>50</v>
      </c>
      <c r="L49" s="29" t="n">
        <f aca="false">IF($F49="Protetor",(('Como ler'!$C$21-'Como ler'!$C$18)/('Como ler'!$C$21-'Como ler'!$C$20)*100),(('Como ler'!$C$18-'Como ler'!$C$20)/('Como ler'!$C$21-'Como ler'!$C$20)*100))</f>
        <v>75</v>
      </c>
      <c r="M49" s="29" t="n">
        <f aca="false">IF($F49="Protetor",(('Como ler'!$C$21-'Como ler'!$C$19)/('Como ler'!$C$21-'Como ler'!$C$20)*100),(('Como ler'!$C$19-'Como ler'!$C$20)/('Como ler'!$C$21-'Como ler'!$C$20)*100))</f>
        <v>100</v>
      </c>
      <c r="N49" s="25"/>
      <c r="O49" s="25"/>
    </row>
  </sheetData>
  <autoFilter ref="A3:O49"/>
  <mergeCells count="2">
    <mergeCell ref="A1:O1"/>
    <mergeCell ref="A2:O2"/>
  </mergeCells>
  <conditionalFormatting sqref="I4:M49">
    <cfRule type="colorScale" priority="2">
      <colorScale>
        <cfvo type="num" val="0"/>
        <cfvo type="num" val="50"/>
        <cfvo type="num" val="100"/>
        <color rgb="FF5BBF8A"/>
        <color rgb="FFD9A24E"/>
        <color rgb="FFD64045"/>
      </colorScale>
    </cfRule>
  </conditionalFormatting>
  <dataValidations count="1">
    <dataValidation allowBlank="true" errorStyle="stop" operator="between" showDropDown="false" showErrorMessage="false" showInputMessage="false" sqref="N4:N49" type="list">
      <formula1>"Concordo,Ajustar direção,Revisar redação,Retirar item"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4" t="s">
        <v>156</v>
      </c>
      <c r="B1" s="14"/>
      <c r="C1" s="14"/>
      <c r="D1" s="14"/>
      <c r="E1" s="14"/>
      <c r="F1" s="14"/>
      <c r="G1" s="14"/>
      <c r="H1" s="14"/>
    </row>
    <row r="3" customFormat="false" ht="30" hidden="false" customHeight="true" outlineLevel="0" collapsed="false">
      <c r="A3" s="7" t="s">
        <v>28</v>
      </c>
      <c r="B3" s="7" t="s">
        <v>29</v>
      </c>
      <c r="C3" s="7" t="s">
        <v>30</v>
      </c>
      <c r="D3" s="7" t="s">
        <v>157</v>
      </c>
      <c r="E3" s="7" t="s">
        <v>158</v>
      </c>
      <c r="F3" s="7" t="s">
        <v>159</v>
      </c>
      <c r="G3" s="7" t="s">
        <v>160</v>
      </c>
      <c r="H3" s="7" t="s">
        <v>161</v>
      </c>
    </row>
    <row r="4" customFormat="false" ht="30" hidden="false" customHeight="true" outlineLevel="0" collapsed="false">
      <c r="A4" s="16" t="s">
        <v>43</v>
      </c>
      <c r="B4" s="18" t="s">
        <v>44</v>
      </c>
      <c r="C4" s="17" t="n">
        <v>1.2</v>
      </c>
      <c r="D4" s="17" t="n">
        <f aca="false">COUNTIF(Gabarito!$B:$B,A4)</f>
        <v>5</v>
      </c>
      <c r="E4" s="17" t="n">
        <f aca="false">COUNTIFS(Gabarito!$B:$B,A4,Gabarito!$F:$F,"Protetor")</f>
        <v>5</v>
      </c>
      <c r="F4" s="17" t="n">
        <f aca="false">COUNTIFS(Gabarito!$B:$B,A4,Gabarito!$F:$F,"Risco")</f>
        <v>0</v>
      </c>
      <c r="G4" s="17" t="str">
        <f aca="false">IF(AND(E4&gt;0,F4&gt;0),"Sim","Não")</f>
        <v>Não</v>
      </c>
      <c r="H4" s="18" t="s">
        <v>162</v>
      </c>
    </row>
    <row r="5" customFormat="false" ht="30" hidden="false" customHeight="true" outlineLevel="0" collapsed="false">
      <c r="A5" s="23" t="s">
        <v>56</v>
      </c>
      <c r="B5" s="25" t="s">
        <v>57</v>
      </c>
      <c r="C5" s="24" t="n">
        <v>1</v>
      </c>
      <c r="D5" s="24" t="n">
        <f aca="false">COUNTIF(Gabarito!$B:$B,A5)</f>
        <v>3</v>
      </c>
      <c r="E5" s="24" t="n">
        <f aca="false">COUNTIFS(Gabarito!$B:$B,A5,Gabarito!$F:$F,"Protetor")</f>
        <v>3</v>
      </c>
      <c r="F5" s="24" t="n">
        <f aca="false">COUNTIFS(Gabarito!$B:$B,A5,Gabarito!$F:$F,"Risco")</f>
        <v>0</v>
      </c>
      <c r="G5" s="24" t="str">
        <f aca="false">IF(AND(E5&gt;0,F5&gt;0),"Sim","Não")</f>
        <v>Não</v>
      </c>
      <c r="H5" s="25" t="s">
        <v>163</v>
      </c>
    </row>
    <row r="6" customFormat="false" ht="30" hidden="false" customHeight="true" outlineLevel="0" collapsed="false">
      <c r="A6" s="16" t="s">
        <v>64</v>
      </c>
      <c r="B6" s="18" t="s">
        <v>65</v>
      </c>
      <c r="C6" s="17" t="n">
        <v>1</v>
      </c>
      <c r="D6" s="17" t="n">
        <f aca="false">COUNTIF(Gabarito!$B:$B,A6)</f>
        <v>4</v>
      </c>
      <c r="E6" s="17" t="n">
        <f aca="false">COUNTIFS(Gabarito!$B:$B,A6,Gabarito!$F:$F,"Protetor")</f>
        <v>4</v>
      </c>
      <c r="F6" s="17" t="n">
        <f aca="false">COUNTIFS(Gabarito!$B:$B,A6,Gabarito!$F:$F,"Risco")</f>
        <v>0</v>
      </c>
      <c r="G6" s="17" t="str">
        <f aca="false">IF(AND(E6&gt;0,F6&gt;0),"Sim","Não")</f>
        <v>Não</v>
      </c>
      <c r="H6" s="18" t="s">
        <v>164</v>
      </c>
    </row>
    <row r="7" customFormat="false" ht="30" hidden="false" customHeight="true" outlineLevel="0" collapsed="false">
      <c r="A7" s="23" t="s">
        <v>74</v>
      </c>
      <c r="B7" s="25" t="s">
        <v>75</v>
      </c>
      <c r="C7" s="24" t="n">
        <v>1.2</v>
      </c>
      <c r="D7" s="24" t="n">
        <f aca="false">COUNTIF(Gabarito!$B:$B,A7)</f>
        <v>4</v>
      </c>
      <c r="E7" s="24" t="n">
        <f aca="false">COUNTIFS(Gabarito!$B:$B,A7,Gabarito!$F:$F,"Protetor")</f>
        <v>2</v>
      </c>
      <c r="F7" s="24" t="n">
        <f aca="false">COUNTIFS(Gabarito!$B:$B,A7,Gabarito!$F:$F,"Risco")</f>
        <v>2</v>
      </c>
      <c r="G7" s="24" t="str">
        <f aca="false">IF(AND(E7&gt;0,F7&gt;0),"Sim","Não")</f>
        <v>Sim</v>
      </c>
      <c r="H7" s="25" t="s">
        <v>165</v>
      </c>
    </row>
    <row r="8" customFormat="false" ht="30" hidden="false" customHeight="true" outlineLevel="0" collapsed="false">
      <c r="A8" s="16" t="s">
        <v>85</v>
      </c>
      <c r="B8" s="18" t="s">
        <v>86</v>
      </c>
      <c r="C8" s="17" t="n">
        <v>1</v>
      </c>
      <c r="D8" s="17" t="n">
        <f aca="false">COUNTIF(Gabarito!$B:$B,A8)</f>
        <v>3</v>
      </c>
      <c r="E8" s="17" t="n">
        <f aca="false">COUNTIFS(Gabarito!$B:$B,A8,Gabarito!$F:$F,"Protetor")</f>
        <v>3</v>
      </c>
      <c r="F8" s="17" t="n">
        <f aca="false">COUNTIFS(Gabarito!$B:$B,A8,Gabarito!$F:$F,"Risco")</f>
        <v>0</v>
      </c>
      <c r="G8" s="17" t="str">
        <f aca="false">IF(AND(E8&gt;0,F8&gt;0),"Sim","Não")</f>
        <v>Não</v>
      </c>
      <c r="H8" s="18" t="s">
        <v>166</v>
      </c>
    </row>
    <row r="9" customFormat="false" ht="30" hidden="false" customHeight="true" outlineLevel="0" collapsed="false">
      <c r="A9" s="23" t="s">
        <v>93</v>
      </c>
      <c r="B9" s="25" t="s">
        <v>94</v>
      </c>
      <c r="C9" s="24" t="n">
        <v>1.4</v>
      </c>
      <c r="D9" s="24" t="n">
        <f aca="false">COUNTIF(Gabarito!$B:$B,A9)</f>
        <v>4</v>
      </c>
      <c r="E9" s="24" t="n">
        <f aca="false">COUNTIFS(Gabarito!$B:$B,A9,Gabarito!$F:$F,"Protetor")</f>
        <v>4</v>
      </c>
      <c r="F9" s="24" t="n">
        <f aca="false">COUNTIFS(Gabarito!$B:$B,A9,Gabarito!$F:$F,"Risco")</f>
        <v>0</v>
      </c>
      <c r="G9" s="24" t="str">
        <f aca="false">IF(AND(E9&gt;0,F9&gt;0),"Sim","Não")</f>
        <v>Não</v>
      </c>
      <c r="H9" s="25" t="s">
        <v>167</v>
      </c>
    </row>
    <row r="10" customFormat="false" ht="30" hidden="false" customHeight="true" outlineLevel="0" collapsed="false">
      <c r="A10" s="16" t="s">
        <v>103</v>
      </c>
      <c r="B10" s="18" t="s">
        <v>104</v>
      </c>
      <c r="C10" s="17" t="n">
        <v>1.1</v>
      </c>
      <c r="D10" s="17" t="n">
        <f aca="false">COUNTIF(Gabarito!$B:$B,A10)</f>
        <v>3</v>
      </c>
      <c r="E10" s="17" t="n">
        <f aca="false">COUNTIFS(Gabarito!$B:$B,A10,Gabarito!$F:$F,"Protetor")</f>
        <v>3</v>
      </c>
      <c r="F10" s="17" t="n">
        <f aca="false">COUNTIFS(Gabarito!$B:$B,A10,Gabarito!$F:$F,"Risco")</f>
        <v>0</v>
      </c>
      <c r="G10" s="17" t="str">
        <f aca="false">IF(AND(E10&gt;0,F10&gt;0),"Sim","Não")</f>
        <v>Não</v>
      </c>
      <c r="H10" s="18" t="s">
        <v>168</v>
      </c>
    </row>
    <row r="11" customFormat="false" ht="30" hidden="false" customHeight="true" outlineLevel="0" collapsed="false">
      <c r="A11" s="23" t="s">
        <v>111</v>
      </c>
      <c r="B11" s="25" t="s">
        <v>112</v>
      </c>
      <c r="C11" s="24" t="n">
        <v>0.9</v>
      </c>
      <c r="D11" s="24" t="n">
        <f aca="false">COUNTIF(Gabarito!$B:$B,A11)</f>
        <v>3</v>
      </c>
      <c r="E11" s="24" t="n">
        <f aca="false">COUNTIFS(Gabarito!$B:$B,A11,Gabarito!$F:$F,"Protetor")</f>
        <v>3</v>
      </c>
      <c r="F11" s="24" t="n">
        <f aca="false">COUNTIFS(Gabarito!$B:$B,A11,Gabarito!$F:$F,"Risco")</f>
        <v>0</v>
      </c>
      <c r="G11" s="24" t="str">
        <f aca="false">IF(AND(E11&gt;0,F11&gt;0),"Sim","Não")</f>
        <v>Não</v>
      </c>
      <c r="H11" s="25" t="s">
        <v>169</v>
      </c>
    </row>
    <row r="12" customFormat="false" ht="30" hidden="false" customHeight="true" outlineLevel="0" collapsed="false">
      <c r="A12" s="16" t="s">
        <v>119</v>
      </c>
      <c r="B12" s="18" t="s">
        <v>120</v>
      </c>
      <c r="C12" s="17" t="n">
        <v>1.1</v>
      </c>
      <c r="D12" s="17" t="n">
        <f aca="false">COUNTIF(Gabarito!$B:$B,A12)</f>
        <v>9</v>
      </c>
      <c r="E12" s="17" t="n">
        <f aca="false">COUNTIFS(Gabarito!$B:$B,A12,Gabarito!$F:$F,"Protetor")</f>
        <v>6</v>
      </c>
      <c r="F12" s="17" t="n">
        <f aca="false">COUNTIFS(Gabarito!$B:$B,A12,Gabarito!$F:$F,"Risco")</f>
        <v>3</v>
      </c>
      <c r="G12" s="17" t="str">
        <f aca="false">IF(AND(E12&gt;0,F12&gt;0),"Sim","Não")</f>
        <v>Sim</v>
      </c>
      <c r="H12" s="18" t="s">
        <v>170</v>
      </c>
    </row>
    <row r="13" customFormat="false" ht="30" hidden="false" customHeight="true" outlineLevel="0" collapsed="false">
      <c r="A13" s="23" t="s">
        <v>139</v>
      </c>
      <c r="B13" s="25" t="s">
        <v>140</v>
      </c>
      <c r="C13" s="24" t="n">
        <v>1.3</v>
      </c>
      <c r="D13" s="24" t="n">
        <f aca="false">COUNTIF(Gabarito!$B:$B,A13)</f>
        <v>8</v>
      </c>
      <c r="E13" s="24" t="n">
        <f aca="false">COUNTIFS(Gabarito!$B:$B,A13,Gabarito!$F:$F,"Protetor")</f>
        <v>0</v>
      </c>
      <c r="F13" s="24" t="n">
        <f aca="false">COUNTIFS(Gabarito!$B:$B,A13,Gabarito!$F:$F,"Risco")</f>
        <v>8</v>
      </c>
      <c r="G13" s="24" t="str">
        <f aca="false">IF(AND(E13&gt;0,F13&gt;0),"Sim","Não")</f>
        <v>Não</v>
      </c>
      <c r="H13" s="25" t="s">
        <v>171</v>
      </c>
    </row>
    <row r="14" customFormat="false" ht="15" hidden="false" customHeight="false" outlineLevel="0" collapsed="false">
      <c r="A14" s="30"/>
      <c r="B14" s="30" t="s">
        <v>172</v>
      </c>
      <c r="C14" s="30"/>
      <c r="D14" s="30" t="n">
        <f aca="false">SUM(D4:D13)</f>
        <v>46</v>
      </c>
      <c r="E14" s="30" t="n">
        <f aca="false">SUM(E4:E13)</f>
        <v>33</v>
      </c>
      <c r="F14" s="30" t="n">
        <f aca="false">SUM(F4:F13)</f>
        <v>13</v>
      </c>
      <c r="G14" s="30"/>
      <c r="H14" s="30"/>
    </row>
    <row r="16" customFormat="false" ht="15" hidden="false" customHeight="false" outlineLevel="0" collapsed="false">
      <c r="A16" s="11" t="s">
        <v>173</v>
      </c>
      <c r="B16" s="11"/>
      <c r="C16" s="11"/>
      <c r="D16" s="11"/>
      <c r="E16" s="11"/>
      <c r="F16" s="11"/>
      <c r="G16" s="11"/>
      <c r="H16" s="11"/>
    </row>
  </sheetData>
  <mergeCells count="2">
    <mergeCell ref="A1:H1"/>
    <mergeCell ref="A16:H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2026-08-06T21:59:53Z</dcterms:created>
  <dc:creator>openpyxl</dc:creator>
  <dc:description/>
  <dc:language>en-US</dc:language>
  <cp:lastModifiedBy/>
  <dcterms:modified xsi:type="dcterms:W3CDTF">2026-08-06T21:59:54Z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